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Excel\"/>
    </mc:Choice>
  </mc:AlternateContent>
  <xr:revisionPtr revIDLastSave="0" documentId="13_ncr:1_{3959D625-0E01-4FF2-95FE-E7AECB0459FF}" xr6:coauthVersionLast="47" xr6:coauthVersionMax="47" xr10:uidLastSave="{00000000-0000-0000-0000-000000000000}"/>
  <bookViews>
    <workbookView xWindow="-108" yWindow="-108" windowWidth="23256" windowHeight="13176" activeTab="1" xr2:uid="{BED1AE71-A683-4822-B444-221194E6B7BA}"/>
  </bookViews>
  <sheets>
    <sheet name="Sheet1" sheetId="1" r:id="rId1"/>
    <sheet name="Dashboard" sheetId="2" r:id="rId2"/>
  </sheets>
  <definedNames>
    <definedName name="_xlchart.v1.0" hidden="1">Sheet1!$N$10:$N$11</definedName>
    <definedName name="_xlchart.v1.1" hidden="1">Sheet1!$O$10:$O$11</definedName>
    <definedName name="_xlchart.v1.2" hidden="1">Sheet1!$N$10:$N$11</definedName>
    <definedName name="_xlchart.v1.3" hidden="1">Sheet1!$O$10:$O$11</definedName>
    <definedName name="Slicer_Depart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6" i="1" l="1"/>
  <c r="O17" i="1"/>
  <c r="O18" i="1"/>
  <c r="O19" i="1"/>
  <c r="O20" i="1"/>
  <c r="O15" i="1"/>
  <c r="O11" i="1"/>
  <c r="O10" i="1"/>
</calcChain>
</file>

<file path=xl/sharedStrings.xml><?xml version="1.0" encoding="utf-8"?>
<sst xmlns="http://schemas.openxmlformats.org/spreadsheetml/2006/main" count="370" uniqueCount="210">
  <si>
    <t>Employee ID</t>
  </si>
  <si>
    <t>Employee Name</t>
  </si>
  <si>
    <t>Department</t>
  </si>
  <si>
    <t>Designation</t>
  </si>
  <si>
    <t>Gender</t>
  </si>
  <si>
    <t>Age</t>
  </si>
  <si>
    <t>Joining Date</t>
  </si>
  <si>
    <t>Experience (Years)</t>
  </si>
  <si>
    <t>Salary</t>
  </si>
  <si>
    <t>Performance Rating</t>
  </si>
  <si>
    <t>Status</t>
  </si>
  <si>
    <t>City</t>
  </si>
  <si>
    <t>E001</t>
  </si>
  <si>
    <t>Aarav Sharma</t>
  </si>
  <si>
    <t>HR</t>
  </si>
  <si>
    <t>HR Executive</t>
  </si>
  <si>
    <t>Male</t>
  </si>
  <si>
    <t>Active</t>
  </si>
  <si>
    <t>Mumbai</t>
  </si>
  <si>
    <t>E002</t>
  </si>
  <si>
    <t>Vihaan Patel</t>
  </si>
  <si>
    <t>Sales</t>
  </si>
  <si>
    <t>Sales Executive</t>
  </si>
  <si>
    <t>Ahmedabad</t>
  </si>
  <si>
    <t>E003</t>
  </si>
  <si>
    <t>Ananya Iyer</t>
  </si>
  <si>
    <t>IT</t>
  </si>
  <si>
    <t>Software Engineer</t>
  </si>
  <si>
    <t>Female</t>
  </si>
  <si>
    <t>Bengaluru</t>
  </si>
  <si>
    <t>E004</t>
  </si>
  <si>
    <t>Rohan Mehta</t>
  </si>
  <si>
    <t>Finance</t>
  </si>
  <si>
    <t>Accountant</t>
  </si>
  <si>
    <t>Inactive</t>
  </si>
  <si>
    <t>Pune</t>
  </si>
  <si>
    <t>E005</t>
  </si>
  <si>
    <t>Neha Verma</t>
  </si>
  <si>
    <t>Marketing</t>
  </si>
  <si>
    <t>Marketing Analyst</t>
  </si>
  <si>
    <t>Delhi</t>
  </si>
  <si>
    <t>E006</t>
  </si>
  <si>
    <t>Aditya Singh</t>
  </si>
  <si>
    <t>Senior Developer</t>
  </si>
  <si>
    <t>Hyderabad</t>
  </si>
  <si>
    <t>E007</t>
  </si>
  <si>
    <t>Priya Nair</t>
  </si>
  <si>
    <t>HR Manager</t>
  </si>
  <si>
    <t>Kochi</t>
  </si>
  <si>
    <t>E008</t>
  </si>
  <si>
    <t>Karan Malhotra</t>
  </si>
  <si>
    <t>Sales Manager</t>
  </si>
  <si>
    <t>Chandigarh</t>
  </si>
  <si>
    <t>E009</t>
  </si>
  <si>
    <t>Sneha Kulkarni</t>
  </si>
  <si>
    <t>Financial Analyst</t>
  </si>
  <si>
    <t>Nagpur</t>
  </si>
  <si>
    <t>E010</t>
  </si>
  <si>
    <t>Arjun Rao</t>
  </si>
  <si>
    <t>Data Analyst</t>
  </si>
  <si>
    <t>Chennai</t>
  </si>
  <si>
    <t>E011</t>
  </si>
  <si>
    <t>Pooja Deshmukh</t>
  </si>
  <si>
    <t>SEO Specialist</t>
  </si>
  <si>
    <t>Aurangabad</t>
  </si>
  <si>
    <t>E012</t>
  </si>
  <si>
    <t>Manish Gupta</t>
  </si>
  <si>
    <t>Operations</t>
  </si>
  <si>
    <t>Operations Manager</t>
  </si>
  <si>
    <t>Indore</t>
  </si>
  <si>
    <t>E013</t>
  </si>
  <si>
    <t>Ritika Jain</t>
  </si>
  <si>
    <t>Recruiter</t>
  </si>
  <si>
    <t>Jaipur</t>
  </si>
  <si>
    <t>E014</t>
  </si>
  <si>
    <t>Amit Kulkarni</t>
  </si>
  <si>
    <t>Senior Accountant</t>
  </si>
  <si>
    <t>Nashik</t>
  </si>
  <si>
    <t>E015</t>
  </si>
  <si>
    <t>Shubham Patil</t>
  </si>
  <si>
    <t>System Administrator</t>
  </si>
  <si>
    <t>E016</t>
  </si>
  <si>
    <t>Kavita Rao</t>
  </si>
  <si>
    <t>Content Strategist</t>
  </si>
  <si>
    <t>E017</t>
  </si>
  <si>
    <t>Rahul Choudhary</t>
  </si>
  <si>
    <t>Bhopal</t>
  </si>
  <si>
    <t>E018</t>
  </si>
  <si>
    <t>Nidhi Saxena</t>
  </si>
  <si>
    <t>HR Analyst</t>
  </si>
  <si>
    <t>Noida</t>
  </si>
  <si>
    <t>E019</t>
  </si>
  <si>
    <t>Suresh Kumar</t>
  </si>
  <si>
    <t>Operations Executive</t>
  </si>
  <si>
    <t>Coimbatore</t>
  </si>
  <si>
    <t>E020</t>
  </si>
  <si>
    <t>Meera Joshi</t>
  </si>
  <si>
    <t>Finance Manager</t>
  </si>
  <si>
    <t>Surat</t>
  </si>
  <si>
    <t>E021</t>
  </si>
  <si>
    <t>Raj Malhotra</t>
  </si>
  <si>
    <t>Project Manager</t>
  </si>
  <si>
    <t>Gurgaon</t>
  </si>
  <si>
    <t>E022</t>
  </si>
  <si>
    <t>Aishwarya Pillai</t>
  </si>
  <si>
    <t>Brand Manager</t>
  </si>
  <si>
    <t>Trivandrum</t>
  </si>
  <si>
    <t>E023</t>
  </si>
  <si>
    <t>Vikas Yadav</t>
  </si>
  <si>
    <t>Regional Manager</t>
  </si>
  <si>
    <t>Meerut</t>
  </si>
  <si>
    <t>E024</t>
  </si>
  <si>
    <t>Neelam Singh</t>
  </si>
  <si>
    <t>Training Manager</t>
  </si>
  <si>
    <t>Patna</t>
  </si>
  <si>
    <t>E025</t>
  </si>
  <si>
    <t>Akash Mishra</t>
  </si>
  <si>
    <t>QA Engineer</t>
  </si>
  <si>
    <t>Kanpur</t>
  </si>
  <si>
    <t>E026</t>
  </si>
  <si>
    <t>Pankaj Verma</t>
  </si>
  <si>
    <t>Budget Analyst</t>
  </si>
  <si>
    <t>Lucknow</t>
  </si>
  <si>
    <t>E027</t>
  </si>
  <si>
    <t>Sonal Mehta</t>
  </si>
  <si>
    <t>Social Media Manager</t>
  </si>
  <si>
    <t>E028</t>
  </si>
  <si>
    <t>Ritesh Soni</t>
  </si>
  <si>
    <t>Supply Chain Analyst</t>
  </si>
  <si>
    <t>Ranchi</t>
  </si>
  <si>
    <t>E029</t>
  </si>
  <si>
    <t>Deepika Arora</t>
  </si>
  <si>
    <t>HR Business Partner</t>
  </si>
  <si>
    <t>Faridabad</t>
  </si>
  <si>
    <t>E030</t>
  </si>
  <si>
    <t>Naveen Reddy</t>
  </si>
  <si>
    <t>Cloud Engineer</t>
  </si>
  <si>
    <t>E031</t>
  </si>
  <si>
    <t>Priyanshu Tiwari</t>
  </si>
  <si>
    <t>Sales Trainee</t>
  </si>
  <si>
    <t>Rewa</t>
  </si>
  <si>
    <t>E032</t>
  </si>
  <si>
    <t>Monika Kapoor</t>
  </si>
  <si>
    <t>Audit Executive</t>
  </si>
  <si>
    <t>Amritsar</t>
  </si>
  <si>
    <t>E033</t>
  </si>
  <si>
    <t>Sachin Pawar</t>
  </si>
  <si>
    <t>Plant Supervisor</t>
  </si>
  <si>
    <t>Satara</t>
  </si>
  <si>
    <t>E034</t>
  </si>
  <si>
    <t>Farah Khan</t>
  </si>
  <si>
    <t>PR Executive</t>
  </si>
  <si>
    <t>E035</t>
  </si>
  <si>
    <t>Ajay Sharma</t>
  </si>
  <si>
    <t>Network Engineer</t>
  </si>
  <si>
    <t>E036</t>
  </si>
  <si>
    <t>Rupal Shah</t>
  </si>
  <si>
    <t>Tax Consultant</t>
  </si>
  <si>
    <t>Vadodara</t>
  </si>
  <si>
    <t>E037</t>
  </si>
  <si>
    <t>Imran Sheikh</t>
  </si>
  <si>
    <t>Key Account Manager</t>
  </si>
  <si>
    <t>E038</t>
  </si>
  <si>
    <t>Swati Kulkarni</t>
  </si>
  <si>
    <t>Compensation Analyst</t>
  </si>
  <si>
    <t>E039</t>
  </si>
  <si>
    <t>Rohit Nair</t>
  </si>
  <si>
    <t>BI Developer</t>
  </si>
  <si>
    <t>E040</t>
  </si>
  <si>
    <t>Tanya Gupta</t>
  </si>
  <si>
    <t>Campaign Manager</t>
  </si>
  <si>
    <t>E041</t>
  </si>
  <si>
    <t>Mukesh Yadav</t>
  </si>
  <si>
    <t>Logistics Manager</t>
  </si>
  <si>
    <t>Agra</t>
  </si>
  <si>
    <t>E042</t>
  </si>
  <si>
    <t>Pallavi Joshi</t>
  </si>
  <si>
    <t>Cost Accountant</t>
  </si>
  <si>
    <t>Udaipur</t>
  </si>
  <si>
    <t>E043</t>
  </si>
  <si>
    <t>Aman Arora</t>
  </si>
  <si>
    <t>Inside Sales Lead</t>
  </si>
  <si>
    <t>Ludhiana</t>
  </si>
  <si>
    <t>E044</t>
  </si>
  <si>
    <t>Kirti Mishra</t>
  </si>
  <si>
    <t>Employee Engagement Lead</t>
  </si>
  <si>
    <t>Raipur</t>
  </si>
  <si>
    <t>E045</t>
  </si>
  <si>
    <t>Sanjay Bansal</t>
  </si>
  <si>
    <t>DevOps Engineer</t>
  </si>
  <si>
    <t>E046</t>
  </si>
  <si>
    <t>Ankita Sen</t>
  </si>
  <si>
    <t>Market Research Analyst</t>
  </si>
  <si>
    <t>Kolkata</t>
  </si>
  <si>
    <t>E047</t>
  </si>
  <si>
    <t>Ravi Prakash</t>
  </si>
  <si>
    <t>Warehouse Supervisor</t>
  </si>
  <si>
    <t>Varanasi</t>
  </si>
  <si>
    <t>E048</t>
  </si>
  <si>
    <t>Poonam Rathi</t>
  </si>
  <si>
    <t>Treasury Analyst</t>
  </si>
  <si>
    <t>Jodhpur</t>
  </si>
  <si>
    <t>E049</t>
  </si>
  <si>
    <t>Kunal Joshi</t>
  </si>
  <si>
    <t>Channel Sales Manager</t>
  </si>
  <si>
    <t>Navi Mumbai</t>
  </si>
  <si>
    <t>E050</t>
  </si>
  <si>
    <t>Shreya Banerjee</t>
  </si>
  <si>
    <t>AI Analyst</t>
  </si>
  <si>
    <t xml:space="preserve">Active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</si>
</sst>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8" tint="0.39997558519241921"/>
      </top>
      <bottom style="thin">
        <color theme="8" tint="0.39997558519241921"/>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left"/>
    </xf>
    <xf numFmtId="0" fontId="0" fillId="0" borderId="0" xfId="0" applyAlignment="1">
      <alignment horizontal="left"/>
    </xf>
    <xf numFmtId="0" fontId="0" fillId="2" borderId="0" xfId="0" applyFill="1"/>
  </cellXfs>
  <cellStyles count="1">
    <cellStyle name="Normal" xfId="0" builtinId="0"/>
  </cellStyles>
  <dxfs count="17">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345118128026"/>
          <c:y val="4.2992750935946338E-2"/>
          <c:w val="0.79519704621638942"/>
          <c:h val="0.86633839942019797"/>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6"/>
              <c:pt idx="0">
                <c:v>Finance</c:v>
              </c:pt>
              <c:pt idx="1">
                <c:v>HR</c:v>
              </c:pt>
              <c:pt idx="2">
                <c:v>IT</c:v>
              </c:pt>
              <c:pt idx="3">
                <c:v>Marketing</c:v>
              </c:pt>
              <c:pt idx="4">
                <c:v>Operations</c:v>
              </c:pt>
              <c:pt idx="5">
                <c:v>Sales</c:v>
              </c:pt>
            </c:strLit>
          </c:cat>
          <c:val>
            <c:numLit>
              <c:formatCode>General</c:formatCode>
              <c:ptCount val="6"/>
              <c:pt idx="0">
                <c:v>624000</c:v>
              </c:pt>
              <c:pt idx="1">
                <c:v>453000</c:v>
              </c:pt>
              <c:pt idx="2">
                <c:v>799000</c:v>
              </c:pt>
              <c:pt idx="3">
                <c:v>443000</c:v>
              </c:pt>
              <c:pt idx="4">
                <c:v>458000</c:v>
              </c:pt>
              <c:pt idx="5">
                <c:v>538000</c:v>
              </c:pt>
            </c:numLit>
          </c:val>
          <c:extLst>
            <c:ext xmlns:c16="http://schemas.microsoft.com/office/drawing/2014/chart" uri="{C3380CC4-5D6E-409C-BE32-E72D297353CC}">
              <c16:uniqueId val="{00000000-BDC1-4E0B-8014-9E4FD2D4CAA5}"/>
            </c:ext>
          </c:extLst>
        </c:ser>
        <c:dLbls>
          <c:showLegendKey val="0"/>
          <c:showVal val="0"/>
          <c:showCatName val="0"/>
          <c:showSerName val="0"/>
          <c:showPercent val="0"/>
          <c:showBubbleSize val="0"/>
        </c:dLbls>
        <c:gapWidth val="100"/>
        <c:axId val="1198818335"/>
        <c:axId val="1202004575"/>
      </c:barChart>
      <c:catAx>
        <c:axId val="11988183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2004575"/>
        <c:crosses val="autoZero"/>
        <c:auto val="1"/>
        <c:lblAlgn val="ctr"/>
        <c:lblOffset val="100"/>
        <c:noMultiLvlLbl val="0"/>
      </c:catAx>
      <c:valAx>
        <c:axId val="120200457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88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sunburst" uniqueId="{1E56E3C6-B35E-41A7-8225-0611D55D9414}">
          <cx:spPr>
            <a:ln>
              <a:noFill/>
            </a:ln>
          </cx:spPr>
          <cx:dataLabels pos="ctr">
            <cx:visibility seriesName="0" categoryName="1" value="0"/>
          </cx:dataLabels>
          <cx:dataId val="0"/>
        </cx:series>
      </cx:plotAreaRegion>
    </cx:plotArea>
    <cx:legend pos="b"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5">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0</xdr:colOff>
      <xdr:row>3</xdr:row>
      <xdr:rowOff>137160</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5DF0C38A-0F34-6377-D592-D23B86651CD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0"/>
              <a:ext cx="11521440" cy="685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27415</xdr:colOff>
      <xdr:row>1</xdr:row>
      <xdr:rowOff>175260</xdr:rowOff>
    </xdr:from>
    <xdr:to>
      <xdr:col>5</xdr:col>
      <xdr:colOff>35035</xdr:colOff>
      <xdr:row>11</xdr:row>
      <xdr:rowOff>4637</xdr:rowOff>
    </xdr:to>
    <xdr:sp macro="" textlink="">
      <xdr:nvSpPr>
        <xdr:cNvPr id="2" name="Rectangle: Folded Corner 1">
          <a:extLst>
            <a:ext uri="{FF2B5EF4-FFF2-40B4-BE49-F238E27FC236}">
              <a16:creationId xmlns:a16="http://schemas.microsoft.com/office/drawing/2014/main" id="{E5E28A00-0515-FC73-4205-EE40D43ABE8E}"/>
            </a:ext>
          </a:extLst>
        </xdr:cNvPr>
        <xdr:cNvSpPr/>
      </xdr:nvSpPr>
      <xdr:spPr>
        <a:xfrm>
          <a:off x="637015" y="354554"/>
          <a:ext cx="2446020" cy="1622318"/>
        </a:xfrm>
        <a:prstGeom prst="foldedCorner">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58362</xdr:colOff>
      <xdr:row>2</xdr:row>
      <xdr:rowOff>133004</xdr:rowOff>
    </xdr:from>
    <xdr:to>
      <xdr:col>5</xdr:col>
      <xdr:colOff>27882</xdr:colOff>
      <xdr:row>4</xdr:row>
      <xdr:rowOff>148244</xdr:rowOff>
    </xdr:to>
    <xdr:sp macro="" textlink="">
      <xdr:nvSpPr>
        <xdr:cNvPr id="3" name="TextBox 2">
          <a:extLst>
            <a:ext uri="{FF2B5EF4-FFF2-40B4-BE49-F238E27FC236}">
              <a16:creationId xmlns:a16="http://schemas.microsoft.com/office/drawing/2014/main" id="{107F0701-6816-FE1E-BFD6-308B00CC72C7}"/>
            </a:ext>
          </a:extLst>
        </xdr:cNvPr>
        <xdr:cNvSpPr txBox="1"/>
      </xdr:nvSpPr>
      <xdr:spPr>
        <a:xfrm>
          <a:off x="667962" y="500149"/>
          <a:ext cx="2407920" cy="382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Arial" panose="020B0604020202020204" pitchFamily="34" charset="0"/>
              <a:cs typeface="Arial" panose="020B0604020202020204" pitchFamily="34" charset="0"/>
            </a:rPr>
            <a:t>Average Salary </a:t>
          </a:r>
        </a:p>
      </xdr:txBody>
    </xdr:sp>
    <xdr:clientData/>
  </xdr:twoCellAnchor>
  <xdr:twoCellAnchor>
    <xdr:from>
      <xdr:col>1</xdr:col>
      <xdr:colOff>30246</xdr:colOff>
      <xdr:row>5</xdr:row>
      <xdr:rowOff>25036</xdr:rowOff>
    </xdr:from>
    <xdr:to>
      <xdr:col>5</xdr:col>
      <xdr:colOff>41564</xdr:colOff>
      <xdr:row>7</xdr:row>
      <xdr:rowOff>152399</xdr:rowOff>
    </xdr:to>
    <xdr:sp macro="" textlink="">
      <xdr:nvSpPr>
        <xdr:cNvPr id="4" name="TextBox 3">
          <a:extLst>
            <a:ext uri="{FF2B5EF4-FFF2-40B4-BE49-F238E27FC236}">
              <a16:creationId xmlns:a16="http://schemas.microsoft.com/office/drawing/2014/main" id="{25E44086-ADE2-4EA9-8FEA-388063E959E7}"/>
            </a:ext>
          </a:extLst>
        </xdr:cNvPr>
        <xdr:cNvSpPr txBox="1"/>
      </xdr:nvSpPr>
      <xdr:spPr>
        <a:xfrm>
          <a:off x="639846" y="942900"/>
          <a:ext cx="2449718" cy="494508"/>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a:solidFill>
                <a:schemeClr val="bg1"/>
              </a:solidFill>
              <a:effectLst/>
              <a:latin typeface="+mn-lt"/>
              <a:ea typeface="+mn-ea"/>
              <a:cs typeface="+mn-cs"/>
            </a:rPr>
            <a:t>₹ </a:t>
          </a:r>
          <a:r>
            <a:rPr lang="en-IN" sz="2000" b="1" i="0" u="none" strike="noStrike">
              <a:solidFill>
                <a:schemeClr val="bg1"/>
              </a:solidFill>
              <a:effectLst/>
              <a:latin typeface="Arial" panose="020B0604020202020204" pitchFamily="34" charset="0"/>
              <a:ea typeface="+mn-ea"/>
              <a:cs typeface="Arial" panose="020B0604020202020204" pitchFamily="34" charset="0"/>
            </a:rPr>
            <a:t>66300</a:t>
          </a:r>
          <a:r>
            <a:rPr lang="en-IN" sz="3600" b="1">
              <a:solidFill>
                <a:schemeClr val="bg1"/>
              </a:solidFill>
              <a:effectLst/>
            </a:rPr>
            <a:t> </a:t>
          </a:r>
          <a:endParaRPr lang="en-IN" sz="36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xdr:col>
      <xdr:colOff>421557</xdr:colOff>
      <xdr:row>8</xdr:row>
      <xdr:rowOff>9597</xdr:rowOff>
    </xdr:from>
    <xdr:to>
      <xdr:col>3</xdr:col>
      <xdr:colOff>331076</xdr:colOff>
      <xdr:row>10</xdr:row>
      <xdr:rowOff>156969</xdr:rowOff>
    </xdr:to>
    <xdr:pic>
      <xdr:nvPicPr>
        <xdr:cNvPr id="6" name="Graphic 5" descr="Money with solid fill">
          <a:extLst>
            <a:ext uri="{FF2B5EF4-FFF2-40B4-BE49-F238E27FC236}">
              <a16:creationId xmlns:a16="http://schemas.microsoft.com/office/drawing/2014/main" id="{CBFE125D-A29E-735A-4DB1-8CC2320E84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40757" y="1481045"/>
          <a:ext cx="519119" cy="515234"/>
        </a:xfrm>
        <a:prstGeom prst="rect">
          <a:avLst/>
        </a:prstGeom>
      </xdr:spPr>
    </xdr:pic>
    <xdr:clientData/>
  </xdr:twoCellAnchor>
  <xdr:twoCellAnchor>
    <xdr:from>
      <xdr:col>5</xdr:col>
      <xdr:colOff>304544</xdr:colOff>
      <xdr:row>1</xdr:row>
      <xdr:rowOff>991</xdr:rowOff>
    </xdr:from>
    <xdr:to>
      <xdr:col>8</xdr:col>
      <xdr:colOff>331696</xdr:colOff>
      <xdr:row>12</xdr:row>
      <xdr:rowOff>106018</xdr:rowOff>
    </xdr:to>
    <xdr:sp macro="" textlink="">
      <xdr:nvSpPr>
        <xdr:cNvPr id="9" name="Teardrop 8">
          <a:extLst>
            <a:ext uri="{FF2B5EF4-FFF2-40B4-BE49-F238E27FC236}">
              <a16:creationId xmlns:a16="http://schemas.microsoft.com/office/drawing/2014/main" id="{0D3A726B-DA1A-414C-85D0-F24B43E07FA1}"/>
            </a:ext>
          </a:extLst>
        </xdr:cNvPr>
        <xdr:cNvSpPr/>
      </xdr:nvSpPr>
      <xdr:spPr>
        <a:xfrm>
          <a:off x="3352544" y="180285"/>
          <a:ext cx="2528305" cy="2077262"/>
        </a:xfrm>
        <a:prstGeom prst="teardrop">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386445</xdr:colOff>
      <xdr:row>1</xdr:row>
      <xdr:rowOff>137349</xdr:rowOff>
    </xdr:from>
    <xdr:to>
      <xdr:col>9</xdr:col>
      <xdr:colOff>10886</xdr:colOff>
      <xdr:row>11</xdr:row>
      <xdr:rowOff>137349</xdr:rowOff>
    </xdr:to>
    <xdr:sp macro="" textlink="">
      <xdr:nvSpPr>
        <xdr:cNvPr id="10" name="TextBox 9">
          <a:extLst>
            <a:ext uri="{FF2B5EF4-FFF2-40B4-BE49-F238E27FC236}">
              <a16:creationId xmlns:a16="http://schemas.microsoft.com/office/drawing/2014/main" id="{5C0B0E89-54B8-4EDD-B9E7-15BDF6A60B7A}"/>
            </a:ext>
          </a:extLst>
        </xdr:cNvPr>
        <xdr:cNvSpPr txBox="1"/>
      </xdr:nvSpPr>
      <xdr:spPr>
        <a:xfrm>
          <a:off x="3434445" y="322406"/>
          <a:ext cx="2411184" cy="185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n w="3175">
                <a:noFill/>
              </a:ln>
              <a:solidFill>
                <a:schemeClr val="bg1"/>
              </a:solidFill>
              <a:latin typeface="Arial" panose="020B0604020202020204" pitchFamily="34" charset="0"/>
              <a:cs typeface="Arial" panose="020B0604020202020204" pitchFamily="34" charset="0"/>
            </a:rPr>
            <a:t>Average</a:t>
          </a:r>
        </a:p>
        <a:p>
          <a:pPr algn="ctr"/>
          <a:r>
            <a:rPr lang="en-IN" sz="1600" b="1">
              <a:ln w="3175">
                <a:noFill/>
              </a:ln>
              <a:solidFill>
                <a:schemeClr val="bg1"/>
              </a:solidFill>
              <a:latin typeface="Arial" panose="020B0604020202020204" pitchFamily="34" charset="0"/>
              <a:cs typeface="Arial" panose="020B0604020202020204" pitchFamily="34" charset="0"/>
            </a:rPr>
            <a:t> Performance Rating</a:t>
          </a:r>
        </a:p>
      </xdr:txBody>
    </xdr:sp>
    <xdr:clientData/>
  </xdr:twoCellAnchor>
  <xdr:twoCellAnchor editAs="oneCell">
    <xdr:from>
      <xdr:col>6</xdr:col>
      <xdr:colOff>157132</xdr:colOff>
      <xdr:row>4</xdr:row>
      <xdr:rowOff>4733</xdr:rowOff>
    </xdr:from>
    <xdr:to>
      <xdr:col>7</xdr:col>
      <xdr:colOff>707207</xdr:colOff>
      <xdr:row>12</xdr:row>
      <xdr:rowOff>63894</xdr:rowOff>
    </xdr:to>
    <xdr:pic>
      <xdr:nvPicPr>
        <xdr:cNvPr id="18" name="Graphic 17" descr="User with solid fill">
          <a:extLst>
            <a:ext uri="{FF2B5EF4-FFF2-40B4-BE49-F238E27FC236}">
              <a16:creationId xmlns:a16="http://schemas.microsoft.com/office/drawing/2014/main" id="{534E7CF9-EEA1-114F-F475-0985AB7A80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4732" y="744962"/>
          <a:ext cx="1543877" cy="1539618"/>
        </a:xfrm>
        <a:prstGeom prst="rect">
          <a:avLst/>
        </a:prstGeom>
      </xdr:spPr>
    </xdr:pic>
    <xdr:clientData/>
  </xdr:twoCellAnchor>
  <xdr:twoCellAnchor>
    <xdr:from>
      <xdr:col>6</xdr:col>
      <xdr:colOff>138370</xdr:colOff>
      <xdr:row>8</xdr:row>
      <xdr:rowOff>46384</xdr:rowOff>
    </xdr:from>
    <xdr:to>
      <xdr:col>7</xdr:col>
      <xdr:colOff>752257</xdr:colOff>
      <xdr:row>11</xdr:row>
      <xdr:rowOff>119270</xdr:rowOff>
    </xdr:to>
    <xdr:sp macro="" textlink="">
      <xdr:nvSpPr>
        <xdr:cNvPr id="16" name="TextBox 15">
          <a:extLst>
            <a:ext uri="{FF2B5EF4-FFF2-40B4-BE49-F238E27FC236}">
              <a16:creationId xmlns:a16="http://schemas.microsoft.com/office/drawing/2014/main" id="{465BB2D8-77C7-8809-754E-15AA4FC9397D}"/>
            </a:ext>
          </a:extLst>
        </xdr:cNvPr>
        <xdr:cNvSpPr txBox="1"/>
      </xdr:nvSpPr>
      <xdr:spPr>
        <a:xfrm>
          <a:off x="3795970" y="1480737"/>
          <a:ext cx="1600005" cy="61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accent1">
                  <a:lumMod val="50000"/>
                </a:schemeClr>
              </a:solidFill>
            </a:rPr>
            <a:t>4/5</a:t>
          </a:r>
          <a:r>
            <a:rPr lang="en-IN" sz="1100">
              <a:solidFill>
                <a:schemeClr val="accent1">
                  <a:lumMod val="20000"/>
                  <a:lumOff val="80000"/>
                </a:schemeClr>
              </a:solidFill>
            </a:rPr>
            <a:t> </a:t>
          </a:r>
        </a:p>
      </xdr:txBody>
    </xdr:sp>
    <xdr:clientData/>
  </xdr:twoCellAnchor>
  <xdr:twoCellAnchor>
    <xdr:from>
      <xdr:col>9</xdr:col>
      <xdr:colOff>46357</xdr:colOff>
      <xdr:row>1</xdr:row>
      <xdr:rowOff>20265</xdr:rowOff>
    </xdr:from>
    <xdr:to>
      <xdr:col>12</xdr:col>
      <xdr:colOff>608665</xdr:colOff>
      <xdr:row>12</xdr:row>
      <xdr:rowOff>128878</xdr:rowOff>
    </xdr:to>
    <xdr:sp macro="" textlink="">
      <xdr:nvSpPr>
        <xdr:cNvPr id="20" name="Teardrop 19">
          <a:extLst>
            <a:ext uri="{FF2B5EF4-FFF2-40B4-BE49-F238E27FC236}">
              <a16:creationId xmlns:a16="http://schemas.microsoft.com/office/drawing/2014/main" id="{62AE56B9-0CFA-4F85-BA55-E3D67725FA20}"/>
            </a:ext>
          </a:extLst>
        </xdr:cNvPr>
        <xdr:cNvSpPr/>
      </xdr:nvSpPr>
      <xdr:spPr>
        <a:xfrm>
          <a:off x="6205110" y="199559"/>
          <a:ext cx="2391108" cy="2080848"/>
        </a:xfrm>
        <a:prstGeom prst="teardrop">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366481</xdr:colOff>
      <xdr:row>1</xdr:row>
      <xdr:rowOff>163333</xdr:rowOff>
    </xdr:from>
    <xdr:to>
      <xdr:col>12</xdr:col>
      <xdr:colOff>560294</xdr:colOff>
      <xdr:row>11</xdr:row>
      <xdr:rowOff>163333</xdr:rowOff>
    </xdr:to>
    <xdr:sp macro="" textlink="">
      <xdr:nvSpPr>
        <xdr:cNvPr id="22" name="TextBox 21">
          <a:extLst>
            <a:ext uri="{FF2B5EF4-FFF2-40B4-BE49-F238E27FC236}">
              <a16:creationId xmlns:a16="http://schemas.microsoft.com/office/drawing/2014/main" id="{D4554E7C-519A-497E-A245-BCBD6460F423}"/>
            </a:ext>
          </a:extLst>
        </xdr:cNvPr>
        <xdr:cNvSpPr txBox="1"/>
      </xdr:nvSpPr>
      <xdr:spPr>
        <a:xfrm>
          <a:off x="6525234" y="342627"/>
          <a:ext cx="2022613" cy="1792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n w="3175">
                <a:noFill/>
              </a:ln>
              <a:solidFill>
                <a:schemeClr val="bg1"/>
              </a:solidFill>
              <a:latin typeface="Arial" panose="020B0604020202020204" pitchFamily="34" charset="0"/>
              <a:cs typeface="Arial" panose="020B0604020202020204" pitchFamily="34" charset="0"/>
            </a:rPr>
            <a:t>Average Experience (Years)</a:t>
          </a:r>
        </a:p>
        <a:p>
          <a:pPr algn="ctr"/>
          <a:endParaRPr lang="en-IN" sz="1600" b="1">
            <a:ln w="3175">
              <a:noFill/>
            </a:ln>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9</xdr:col>
      <xdr:colOff>492708</xdr:colOff>
      <xdr:row>3</xdr:row>
      <xdr:rowOff>178573</xdr:rowOff>
    </xdr:from>
    <xdr:to>
      <xdr:col>12</xdr:col>
      <xdr:colOff>183931</xdr:colOff>
      <xdr:row>12</xdr:row>
      <xdr:rowOff>52676</xdr:rowOff>
    </xdr:to>
    <xdr:pic>
      <xdr:nvPicPr>
        <xdr:cNvPr id="25" name="Graphic 24" descr="Call center with solid fill">
          <a:extLst>
            <a:ext uri="{FF2B5EF4-FFF2-40B4-BE49-F238E27FC236}">
              <a16:creationId xmlns:a16="http://schemas.microsoft.com/office/drawing/2014/main" id="{CE12F70C-BE96-48E8-B5E1-E6A3AFA11B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651461" y="716455"/>
          <a:ext cx="1520023" cy="1487750"/>
        </a:xfrm>
        <a:prstGeom prst="rect">
          <a:avLst/>
        </a:prstGeom>
      </xdr:spPr>
    </xdr:pic>
    <xdr:clientData/>
  </xdr:twoCellAnchor>
  <xdr:twoCellAnchor>
    <xdr:from>
      <xdr:col>9</xdr:col>
      <xdr:colOff>560294</xdr:colOff>
      <xdr:row>9</xdr:row>
      <xdr:rowOff>0</xdr:rowOff>
    </xdr:from>
    <xdr:to>
      <xdr:col>12</xdr:col>
      <xdr:colOff>133574</xdr:colOff>
      <xdr:row>11</xdr:row>
      <xdr:rowOff>144780</xdr:rowOff>
    </xdr:to>
    <xdr:sp macro="" textlink="">
      <xdr:nvSpPr>
        <xdr:cNvPr id="26" name="TextBox 25">
          <a:extLst>
            <a:ext uri="{FF2B5EF4-FFF2-40B4-BE49-F238E27FC236}">
              <a16:creationId xmlns:a16="http://schemas.microsoft.com/office/drawing/2014/main" id="{6CD94A32-3F2D-91CB-FB39-E35578F05F99}"/>
            </a:ext>
          </a:extLst>
        </xdr:cNvPr>
        <xdr:cNvSpPr txBox="1"/>
      </xdr:nvSpPr>
      <xdr:spPr>
        <a:xfrm>
          <a:off x="6719047" y="1613647"/>
          <a:ext cx="1402080" cy="503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i="0" u="none" strike="noStrike">
              <a:solidFill>
                <a:schemeClr val="accent1">
                  <a:lumMod val="50000"/>
                </a:schemeClr>
              </a:solidFill>
              <a:effectLst/>
              <a:latin typeface="Calibri" panose="020F0502020204030204" pitchFamily="34" charset="0"/>
            </a:rPr>
            <a:t>8</a:t>
          </a:r>
          <a:r>
            <a:rPr lang="en-IN" sz="2400" b="0" i="0" u="none" strike="noStrike" baseline="0">
              <a:solidFill>
                <a:schemeClr val="accent1">
                  <a:lumMod val="50000"/>
                </a:schemeClr>
              </a:solidFill>
              <a:effectLst/>
              <a:latin typeface="Calibri" panose="020F0502020204030204" pitchFamily="34" charset="0"/>
            </a:rPr>
            <a:t> Years</a:t>
          </a:r>
          <a:r>
            <a:rPr lang="en-IN" sz="2400">
              <a:solidFill>
                <a:schemeClr val="accent1">
                  <a:lumMod val="50000"/>
                </a:schemeClr>
              </a:solidFill>
              <a:effectLst/>
            </a:rPr>
            <a:t> </a:t>
          </a:r>
          <a:endParaRPr lang="en-IN" sz="2400">
            <a:solidFill>
              <a:schemeClr val="accent1">
                <a:lumMod val="50000"/>
              </a:schemeClr>
            </a:solidFill>
          </a:endParaRPr>
        </a:p>
      </xdr:txBody>
    </xdr:sp>
    <xdr:clientData/>
  </xdr:twoCellAnchor>
  <xdr:twoCellAnchor>
    <xdr:from>
      <xdr:col>0</xdr:col>
      <xdr:colOff>487680</xdr:colOff>
      <xdr:row>12</xdr:row>
      <xdr:rowOff>39700</xdr:rowOff>
    </xdr:from>
    <xdr:to>
      <xdr:col>5</xdr:col>
      <xdr:colOff>320040</xdr:colOff>
      <xdr:row>27</xdr:row>
      <xdr:rowOff>53340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426F9E98-371B-4871-B4D4-E68A74602034}"/>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87680" y="2191229"/>
              <a:ext cx="2880360" cy="27030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564800</xdr:colOff>
      <xdr:row>17</xdr:row>
      <xdr:rowOff>31722</xdr:rowOff>
    </xdr:from>
    <xdr:ext cx="1523977" cy="655949"/>
    <xdr:sp macro="" textlink="">
      <xdr:nvSpPr>
        <xdr:cNvPr id="32" name="Rectangle 31">
          <a:extLst>
            <a:ext uri="{FF2B5EF4-FFF2-40B4-BE49-F238E27FC236}">
              <a16:creationId xmlns:a16="http://schemas.microsoft.com/office/drawing/2014/main" id="{F64C343C-5FBD-BE78-8FDA-9B84E275E00C}"/>
            </a:ext>
          </a:extLst>
        </xdr:cNvPr>
        <xdr:cNvSpPr/>
      </xdr:nvSpPr>
      <xdr:spPr>
        <a:xfrm>
          <a:off x="1174400" y="3079722"/>
          <a:ext cx="1523977" cy="655949"/>
        </a:xfrm>
        <a:prstGeom prst="rect">
          <a:avLst/>
        </a:prstGeom>
        <a:noFill/>
      </xdr:spPr>
      <xdr:txBody>
        <a:bodyPr wrap="square" lIns="91440" tIns="45720" rIns="91440" bIns="45720">
          <a:spAutoFit/>
        </a:bodyPr>
        <a:lstStyle/>
        <a:p>
          <a:pPr algn="ctr"/>
          <a:r>
            <a:rPr lang="en-US" sz="1800" b="0" cap="none" spc="0">
              <a:ln w="0"/>
              <a:solidFill>
                <a:schemeClr val="accent1">
                  <a:lumMod val="50000"/>
                </a:schemeClr>
              </a:solidFill>
              <a:effectLst>
                <a:outerShdw blurRad="38100" dist="19050" dir="2700000" algn="tl" rotWithShape="0">
                  <a:schemeClr val="dk1">
                    <a:alpha val="40000"/>
                  </a:schemeClr>
                </a:outerShdw>
              </a:effectLst>
            </a:rPr>
            <a:t>Employee</a:t>
          </a:r>
          <a:r>
            <a:rPr lang="en-US" sz="1800" b="0" cap="none" spc="0" baseline="0">
              <a:ln w="0"/>
              <a:solidFill>
                <a:schemeClr val="accent1">
                  <a:lumMod val="50000"/>
                </a:schemeClr>
              </a:solidFill>
              <a:effectLst>
                <a:outerShdw blurRad="38100" dist="19050" dir="2700000" algn="tl" rotWithShape="0">
                  <a:schemeClr val="dk1">
                    <a:alpha val="40000"/>
                  </a:schemeClr>
                </a:outerShdw>
              </a:effectLst>
            </a:rPr>
            <a:t> Status</a:t>
          </a:r>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oneCellAnchor>
  <xdr:oneCellAnchor>
    <xdr:from>
      <xdr:col>5</xdr:col>
      <xdr:colOff>315710</xdr:colOff>
      <xdr:row>26</xdr:row>
      <xdr:rowOff>13793</xdr:rowOff>
    </xdr:from>
    <xdr:ext cx="2390479" cy="374141"/>
    <xdr:sp macro="" textlink="">
      <xdr:nvSpPr>
        <xdr:cNvPr id="36" name="Rectangle 35">
          <a:extLst>
            <a:ext uri="{FF2B5EF4-FFF2-40B4-BE49-F238E27FC236}">
              <a16:creationId xmlns:a16="http://schemas.microsoft.com/office/drawing/2014/main" id="{4FD92F57-A4BF-4EBE-8BD0-C54F34489834}"/>
            </a:ext>
          </a:extLst>
        </xdr:cNvPr>
        <xdr:cNvSpPr/>
      </xdr:nvSpPr>
      <xdr:spPr>
        <a:xfrm>
          <a:off x="3363710" y="4675440"/>
          <a:ext cx="2390479" cy="374141"/>
        </a:xfrm>
        <a:prstGeom prst="rect">
          <a:avLst/>
        </a:prstGeom>
        <a:noFill/>
      </xdr:spPr>
      <xdr:txBody>
        <a:bodyPr wrap="square" lIns="91440" tIns="45720" rIns="91440" bIns="45720">
          <a:spAutoFit/>
        </a:bodyPr>
        <a:lstStyle/>
        <a:p>
          <a:pPr algn="ctr"/>
          <a:r>
            <a:rPr lang="en-US" sz="1800" b="0" cap="none" spc="0">
              <a:ln w="0"/>
              <a:solidFill>
                <a:schemeClr val="accent1">
                  <a:lumMod val="50000"/>
                </a:schemeClr>
              </a:solidFill>
              <a:effectLst>
                <a:outerShdw blurRad="38100" dist="19050" dir="2700000" algn="tl" rotWithShape="0">
                  <a:schemeClr val="dk1">
                    <a:alpha val="40000"/>
                  </a:schemeClr>
                </a:outerShdw>
              </a:effectLst>
            </a:rPr>
            <a:t>Salary By Department</a:t>
          </a:r>
        </a:p>
      </xdr:txBody>
    </xdr:sp>
    <xdr:clientData/>
  </xdr:oneCellAnchor>
  <xdr:oneCellAnchor>
    <xdr:from>
      <xdr:col>8</xdr:col>
      <xdr:colOff>231890</xdr:colOff>
      <xdr:row>26</xdr:row>
      <xdr:rowOff>44274</xdr:rowOff>
    </xdr:from>
    <xdr:ext cx="3676081" cy="655949"/>
    <xdr:sp macro="" textlink="">
      <xdr:nvSpPr>
        <xdr:cNvPr id="37" name="Rectangle 36">
          <a:extLst>
            <a:ext uri="{FF2B5EF4-FFF2-40B4-BE49-F238E27FC236}">
              <a16:creationId xmlns:a16="http://schemas.microsoft.com/office/drawing/2014/main" id="{A0645B77-08CC-47C7-BAC1-91B3652E1110}"/>
            </a:ext>
          </a:extLst>
        </xdr:cNvPr>
        <xdr:cNvSpPr/>
      </xdr:nvSpPr>
      <xdr:spPr>
        <a:xfrm>
          <a:off x="5781043" y="4705921"/>
          <a:ext cx="3676081" cy="655949"/>
        </a:xfrm>
        <a:prstGeom prst="rect">
          <a:avLst/>
        </a:prstGeom>
        <a:noFill/>
      </xdr:spPr>
      <xdr:txBody>
        <a:bodyPr wrap="square" lIns="91440" tIns="45720" rIns="91440" bIns="45720">
          <a:spAutoFit/>
        </a:bodyPr>
        <a:lstStyle/>
        <a:p>
          <a:pPr algn="ctr"/>
          <a:r>
            <a:rPr lang="en-US" sz="1800" b="0" cap="none" spc="0">
              <a:ln w="0"/>
              <a:solidFill>
                <a:schemeClr val="accent1">
                  <a:lumMod val="50000"/>
                </a:schemeClr>
              </a:solidFill>
              <a:effectLst>
                <a:outerShdw blurRad="38100" dist="19050" dir="2700000" algn="tl" rotWithShape="0">
                  <a:schemeClr val="dk1">
                    <a:alpha val="40000"/>
                  </a:schemeClr>
                </a:outerShdw>
              </a:effectLst>
            </a:rPr>
            <a:t>Employee</a:t>
          </a:r>
          <a:r>
            <a:rPr lang="en-US" sz="1800" b="0" cap="none" spc="0" baseline="0">
              <a:ln w="0"/>
              <a:solidFill>
                <a:schemeClr val="accent1">
                  <a:lumMod val="50000"/>
                </a:schemeClr>
              </a:solidFill>
              <a:effectLst>
                <a:outerShdw blurRad="38100" dist="19050" dir="2700000" algn="tl" rotWithShape="0">
                  <a:schemeClr val="dk1">
                    <a:alpha val="40000"/>
                  </a:schemeClr>
                </a:outerShdw>
              </a:effectLst>
            </a:rPr>
            <a:t> count by </a:t>
          </a:r>
        </a:p>
        <a:p>
          <a:pPr algn="ctr"/>
          <a:r>
            <a:rPr lang="en-US" sz="1800" b="0" cap="none" spc="0" baseline="0">
              <a:ln w="0"/>
              <a:solidFill>
                <a:schemeClr val="accent1">
                  <a:lumMod val="50000"/>
                </a:schemeClr>
              </a:solidFill>
              <a:effectLst>
                <a:outerShdw blurRad="38100" dist="19050" dir="2700000" algn="tl" rotWithShape="0">
                  <a:schemeClr val="dk1">
                    <a:alpha val="40000"/>
                  </a:schemeClr>
                </a:outerShdw>
              </a:effectLst>
            </a:rPr>
            <a:t>Department</a:t>
          </a:r>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oneCellAnchor>
  <xdr:twoCellAnchor editAs="oneCell">
    <xdr:from>
      <xdr:col>8</xdr:col>
      <xdr:colOff>519952</xdr:colOff>
      <xdr:row>14</xdr:row>
      <xdr:rowOff>11527</xdr:rowOff>
    </xdr:from>
    <xdr:to>
      <xdr:col>14</xdr:col>
      <xdr:colOff>8965</xdr:colOff>
      <xdr:row>25</xdr:row>
      <xdr:rowOff>124867</xdr:rowOff>
    </xdr:to>
    <xdr:pic>
      <xdr:nvPicPr>
        <xdr:cNvPr id="40" name="Picture 39">
          <a:extLst>
            <a:ext uri="{FF2B5EF4-FFF2-40B4-BE49-F238E27FC236}">
              <a16:creationId xmlns:a16="http://schemas.microsoft.com/office/drawing/2014/main" id="{24355CF6-041C-0A40-57CF-F23098828F1F}"/>
            </a:ext>
          </a:extLst>
        </xdr:cNvPr>
        <xdr:cNvPicPr>
          <a:picLocks noChangeAspect="1"/>
        </xdr:cNvPicPr>
      </xdr:nvPicPr>
      <xdr:blipFill rotWithShape="1">
        <a:blip xmlns:r="http://schemas.openxmlformats.org/officeDocument/2006/relationships" r:embed="rId8"/>
        <a:srcRect l="3297" t="3252" r="1651" b="2955"/>
        <a:stretch>
          <a:fillRect/>
        </a:stretch>
      </xdr:blipFill>
      <xdr:spPr>
        <a:xfrm>
          <a:off x="6069105" y="2521645"/>
          <a:ext cx="3146613" cy="2085575"/>
        </a:xfrm>
        <a:prstGeom prst="rect">
          <a:avLst/>
        </a:prstGeom>
      </xdr:spPr>
    </xdr:pic>
    <xdr:clientData/>
  </xdr:twoCellAnchor>
  <xdr:twoCellAnchor>
    <xdr:from>
      <xdr:col>5</xdr:col>
      <xdr:colOff>247489</xdr:colOff>
      <xdr:row>14</xdr:row>
      <xdr:rowOff>32787</xdr:rowOff>
    </xdr:from>
    <xdr:to>
      <xdr:col>8</xdr:col>
      <xdr:colOff>602555</xdr:colOff>
      <xdr:row>25</xdr:row>
      <xdr:rowOff>30096</xdr:rowOff>
    </xdr:to>
    <xdr:graphicFrame macro="">
      <xdr:nvGraphicFramePr>
        <xdr:cNvPr id="41" name="Chart 40">
          <a:extLst>
            <a:ext uri="{FF2B5EF4-FFF2-40B4-BE49-F238E27FC236}">
              <a16:creationId xmlns:a16="http://schemas.microsoft.com/office/drawing/2014/main" id="{7E1C526E-3A58-2531-AA78-A25D8E49A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85806</xdr:colOff>
      <xdr:row>30</xdr:row>
      <xdr:rowOff>88366</xdr:rowOff>
    </xdr:from>
    <xdr:to>
      <xdr:col>12</xdr:col>
      <xdr:colOff>336817</xdr:colOff>
      <xdr:row>32</xdr:row>
      <xdr:rowOff>142154</xdr:rowOff>
    </xdr:to>
    <xdr:sp macro="" textlink="">
      <xdr:nvSpPr>
        <xdr:cNvPr id="46" name="TextBox 45">
          <a:extLst>
            <a:ext uri="{FF2B5EF4-FFF2-40B4-BE49-F238E27FC236}">
              <a16:creationId xmlns:a16="http://schemas.microsoft.com/office/drawing/2014/main" id="{AD778255-22D1-35AC-C20F-E23626446037}"/>
            </a:ext>
          </a:extLst>
        </xdr:cNvPr>
        <xdr:cNvSpPr txBox="1"/>
      </xdr:nvSpPr>
      <xdr:spPr>
        <a:xfrm>
          <a:off x="1305006" y="5640080"/>
          <a:ext cx="7011040" cy="42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1">
                  <a:lumMod val="50000"/>
                </a:schemeClr>
              </a:solidFill>
            </a:rPr>
            <a:t>"IT department has the highest employee count and salary cost."</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0B4967-B897-43CE-B147-D253A1AA2C37}" sourceName="Departmen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2C91B96-9F9E-4EDA-9BC2-4F1671CA7B75}" cache="Slicer_Department" caption="Department"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2E4C39-DF24-4220-8ECF-7F533F0B50F9}" name="Table1" displayName="Table1" ref="A5:L55" totalsRowShown="0" headerRowDxfId="16" dataDxfId="14" headerRowBorderDxfId="15" tableBorderDxfId="13" totalsRowBorderDxfId="12">
  <autoFilter ref="A5:L55" xr:uid="{B42E4C39-DF24-4220-8ECF-7F533F0B50F9}"/>
  <tableColumns count="12">
    <tableColumn id="1" xr3:uid="{51596B53-8671-44B8-A162-8B478F993C6D}" name="Employee ID" dataDxfId="11"/>
    <tableColumn id="2" xr3:uid="{3581D92F-4726-4F85-893A-7F693FFC062E}" name="Employee Name" dataDxfId="10"/>
    <tableColumn id="3" xr3:uid="{5D3EDE5C-4C19-4D51-A8DB-99AD8AA0D26F}" name="Department" dataDxfId="9"/>
    <tableColumn id="4" xr3:uid="{308523E7-9E69-4C8F-88AA-C8228E521B2A}" name="Designation" dataDxfId="8"/>
    <tableColumn id="5" xr3:uid="{B08F644F-37C8-4310-A9CB-CA2AE90762AD}" name="Gender" dataDxfId="7"/>
    <tableColumn id="6" xr3:uid="{BA4F55FF-94BA-4AA7-A2D4-B27395FCEF08}" name="Age" dataDxfId="6"/>
    <tableColumn id="7" xr3:uid="{B038EF79-2AA0-4359-972F-2E58CA18E36A}" name="Joining Date" dataDxfId="5"/>
    <tableColumn id="8" xr3:uid="{816E9CC4-06E8-4875-B89C-BEC982FD111C}" name="Experience (Years)" dataDxfId="4"/>
    <tableColumn id="9" xr3:uid="{42BB86C6-B965-4FA2-B86E-08A53D99E626}" name="Salary" dataDxfId="3"/>
    <tableColumn id="10" xr3:uid="{98A5757F-D466-40CF-AB97-DABD72B42083}" name="Performance Rating" dataDxfId="2"/>
    <tableColumn id="11" xr3:uid="{DF2375FB-A359-459C-B290-91D954DFF6B7}" name="Status" dataDxfId="1"/>
    <tableColumn id="12" xr3:uid="{8B52B59D-2117-47AC-8410-E923AF2B5374}"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35F2-7983-4AED-9A6C-D9088354F85A}">
  <dimension ref="A5:O55"/>
  <sheetViews>
    <sheetView workbookViewId="0">
      <selection activeCell="N15" sqref="N15:O20"/>
    </sheetView>
  </sheetViews>
  <sheetFormatPr defaultRowHeight="14.4" x14ac:dyDescent="0.3"/>
  <cols>
    <col min="1" max="1" width="13.44140625" customWidth="1"/>
    <col min="2" max="2" width="16.6640625" customWidth="1"/>
    <col min="3" max="3" width="13" customWidth="1"/>
    <col min="4" max="4" width="24.109375" bestFit="1" customWidth="1"/>
    <col min="5" max="5" width="9" customWidth="1"/>
    <col min="6" max="6" width="9.21875" customWidth="1"/>
    <col min="7" max="7" width="13.109375" customWidth="1"/>
    <col min="8" max="8" width="18.21875" customWidth="1"/>
    <col min="9" max="9" width="11.77734375" customWidth="1"/>
    <col min="10" max="10" width="19.5546875" customWidth="1"/>
    <col min="11" max="11" width="8.109375" customWidth="1"/>
    <col min="12" max="12" width="11.77734375" bestFit="1" customWidth="1"/>
    <col min="14" max="14" width="10" bestFit="1" customWidth="1"/>
  </cols>
  <sheetData>
    <row r="5" spans="1:15" x14ac:dyDescent="0.3">
      <c r="A5" s="5" t="s">
        <v>0</v>
      </c>
      <c r="B5" s="6" t="s">
        <v>1</v>
      </c>
      <c r="C5" s="6" t="s">
        <v>2</v>
      </c>
      <c r="D5" s="6" t="s">
        <v>3</v>
      </c>
      <c r="E5" s="6" t="s">
        <v>4</v>
      </c>
      <c r="F5" s="6" t="s">
        <v>5</v>
      </c>
      <c r="G5" s="6" t="s">
        <v>6</v>
      </c>
      <c r="H5" s="6" t="s">
        <v>7</v>
      </c>
      <c r="I5" s="6" t="s">
        <v>8</v>
      </c>
      <c r="J5" s="6" t="s">
        <v>9</v>
      </c>
      <c r="K5" s="6" t="s">
        <v>10</v>
      </c>
      <c r="L5" s="7" t="s">
        <v>11</v>
      </c>
    </row>
    <row r="6" spans="1:15" x14ac:dyDescent="0.3">
      <c r="A6" s="3" t="s">
        <v>12</v>
      </c>
      <c r="B6" s="1" t="s">
        <v>13</v>
      </c>
      <c r="C6" s="1" t="s">
        <v>14</v>
      </c>
      <c r="D6" s="1" t="s">
        <v>15</v>
      </c>
      <c r="E6" s="1" t="s">
        <v>16</v>
      </c>
      <c r="F6" s="1">
        <v>28</v>
      </c>
      <c r="G6" s="2">
        <v>43631</v>
      </c>
      <c r="H6" s="1">
        <v>5</v>
      </c>
      <c r="I6" s="1">
        <v>45000</v>
      </c>
      <c r="J6" s="1">
        <v>4</v>
      </c>
      <c r="K6" s="1" t="s">
        <v>17</v>
      </c>
      <c r="L6" s="4" t="s">
        <v>18</v>
      </c>
    </row>
    <row r="7" spans="1:15" x14ac:dyDescent="0.3">
      <c r="A7" s="3" t="s">
        <v>19</v>
      </c>
      <c r="B7" s="1" t="s">
        <v>20</v>
      </c>
      <c r="C7" s="1" t="s">
        <v>21</v>
      </c>
      <c r="D7" s="1" t="s">
        <v>22</v>
      </c>
      <c r="E7" s="1" t="s">
        <v>16</v>
      </c>
      <c r="F7" s="1">
        <v>32</v>
      </c>
      <c r="G7" s="2">
        <v>43169</v>
      </c>
      <c r="H7" s="1">
        <v>7</v>
      </c>
      <c r="I7" s="1">
        <v>52000</v>
      </c>
      <c r="J7" s="1">
        <v>5</v>
      </c>
      <c r="K7" s="1" t="s">
        <v>17</v>
      </c>
      <c r="L7" s="4" t="s">
        <v>23</v>
      </c>
    </row>
    <row r="8" spans="1:15" x14ac:dyDescent="0.3">
      <c r="A8" s="3" t="s">
        <v>24</v>
      </c>
      <c r="B8" s="1" t="s">
        <v>25</v>
      </c>
      <c r="C8" s="1" t="s">
        <v>26</v>
      </c>
      <c r="D8" s="1" t="s">
        <v>27</v>
      </c>
      <c r="E8" s="1" t="s">
        <v>28</v>
      </c>
      <c r="F8" s="1">
        <v>26</v>
      </c>
      <c r="G8" s="2">
        <v>44409</v>
      </c>
      <c r="H8" s="1">
        <v>3</v>
      </c>
      <c r="I8" s="1">
        <v>60000</v>
      </c>
      <c r="J8" s="1">
        <v>4</v>
      </c>
      <c r="K8" s="1" t="s">
        <v>17</v>
      </c>
      <c r="L8" s="4" t="s">
        <v>29</v>
      </c>
    </row>
    <row r="9" spans="1:15" x14ac:dyDescent="0.3">
      <c r="A9" s="3" t="s">
        <v>30</v>
      </c>
      <c r="B9" s="1" t="s">
        <v>31</v>
      </c>
      <c r="C9" s="1" t="s">
        <v>32</v>
      </c>
      <c r="D9" s="1" t="s">
        <v>33</v>
      </c>
      <c r="E9" s="1" t="s">
        <v>16</v>
      </c>
      <c r="F9" s="1">
        <v>35</v>
      </c>
      <c r="G9" s="2">
        <v>42755</v>
      </c>
      <c r="H9" s="1">
        <v>9</v>
      </c>
      <c r="I9" s="1">
        <v>58000</v>
      </c>
      <c r="J9" s="1">
        <v>3</v>
      </c>
      <c r="K9" s="1" t="s">
        <v>34</v>
      </c>
      <c r="L9" s="4" t="s">
        <v>35</v>
      </c>
    </row>
    <row r="10" spans="1:15" x14ac:dyDescent="0.3">
      <c r="A10" s="3" t="s">
        <v>36</v>
      </c>
      <c r="B10" s="1" t="s">
        <v>37</v>
      </c>
      <c r="C10" s="1" t="s">
        <v>38</v>
      </c>
      <c r="D10" s="1" t="s">
        <v>39</v>
      </c>
      <c r="E10" s="1" t="s">
        <v>28</v>
      </c>
      <c r="F10" s="1">
        <v>29</v>
      </c>
      <c r="G10" s="2">
        <v>44147</v>
      </c>
      <c r="H10" s="1">
        <v>4</v>
      </c>
      <c r="I10" s="1">
        <v>48000</v>
      </c>
      <c r="J10" s="1">
        <v>4</v>
      </c>
      <c r="K10" s="1" t="s">
        <v>17</v>
      </c>
      <c r="L10" s="4" t="s">
        <v>40</v>
      </c>
      <c r="N10" t="s">
        <v>209</v>
      </c>
      <c r="O10">
        <f>COUNTIF(K6:K55,"Active")</f>
        <v>46</v>
      </c>
    </row>
    <row r="11" spans="1:15" x14ac:dyDescent="0.3">
      <c r="A11" s="3" t="s">
        <v>41</v>
      </c>
      <c r="B11" s="1" t="s">
        <v>42</v>
      </c>
      <c r="C11" s="1" t="s">
        <v>26</v>
      </c>
      <c r="D11" s="1" t="s">
        <v>43</v>
      </c>
      <c r="E11" s="1" t="s">
        <v>16</v>
      </c>
      <c r="F11" s="1">
        <v>38</v>
      </c>
      <c r="G11" s="2">
        <v>42149</v>
      </c>
      <c r="H11" s="1">
        <v>12</v>
      </c>
      <c r="I11" s="1">
        <v>85000</v>
      </c>
      <c r="J11" s="1">
        <v>5</v>
      </c>
      <c r="K11" s="1" t="s">
        <v>17</v>
      </c>
      <c r="L11" s="4" t="s">
        <v>44</v>
      </c>
      <c r="N11" t="s">
        <v>34</v>
      </c>
      <c r="O11">
        <f>COUNTIF(K7:K58,"Inactive")</f>
        <v>4</v>
      </c>
    </row>
    <row r="12" spans="1:15" x14ac:dyDescent="0.3">
      <c r="A12" s="3" t="s">
        <v>45</v>
      </c>
      <c r="B12" s="1" t="s">
        <v>46</v>
      </c>
      <c r="C12" s="1" t="s">
        <v>14</v>
      </c>
      <c r="D12" s="1" t="s">
        <v>47</v>
      </c>
      <c r="E12" s="1" t="s">
        <v>28</v>
      </c>
      <c r="F12" s="1">
        <v>41</v>
      </c>
      <c r="G12" s="2">
        <v>41535</v>
      </c>
      <c r="H12" s="1">
        <v>15</v>
      </c>
      <c r="I12" s="1">
        <v>78000</v>
      </c>
      <c r="J12" s="1">
        <v>4</v>
      </c>
      <c r="K12" s="1" t="s">
        <v>17</v>
      </c>
      <c r="L12" s="4" t="s">
        <v>48</v>
      </c>
    </row>
    <row r="13" spans="1:15" x14ac:dyDescent="0.3">
      <c r="A13" s="3" t="s">
        <v>49</v>
      </c>
      <c r="B13" s="1" t="s">
        <v>50</v>
      </c>
      <c r="C13" s="1" t="s">
        <v>21</v>
      </c>
      <c r="D13" s="1" t="s">
        <v>51</v>
      </c>
      <c r="E13" s="1" t="s">
        <v>16</v>
      </c>
      <c r="F13" s="1">
        <v>36</v>
      </c>
      <c r="G13" s="2">
        <v>42407</v>
      </c>
      <c r="H13" s="1">
        <v>10</v>
      </c>
      <c r="I13" s="1">
        <v>72000</v>
      </c>
      <c r="J13" s="1">
        <v>3</v>
      </c>
      <c r="K13" s="1" t="s">
        <v>17</v>
      </c>
      <c r="L13" s="4" t="s">
        <v>52</v>
      </c>
    </row>
    <row r="14" spans="1:15" x14ac:dyDescent="0.3">
      <c r="A14" s="3" t="s">
        <v>53</v>
      </c>
      <c r="B14" s="1" t="s">
        <v>54</v>
      </c>
      <c r="C14" s="1" t="s">
        <v>32</v>
      </c>
      <c r="D14" s="1" t="s">
        <v>55</v>
      </c>
      <c r="E14" s="1" t="s">
        <v>28</v>
      </c>
      <c r="F14" s="1">
        <v>27</v>
      </c>
      <c r="G14" s="2">
        <v>44665</v>
      </c>
      <c r="H14" s="1">
        <v>2</v>
      </c>
      <c r="I14" s="1">
        <v>50000</v>
      </c>
      <c r="J14" s="1">
        <v>4</v>
      </c>
      <c r="K14" s="1" t="s">
        <v>17</v>
      </c>
      <c r="L14" s="4" t="s">
        <v>56</v>
      </c>
    </row>
    <row r="15" spans="1:15" x14ac:dyDescent="0.3">
      <c r="A15" s="3" t="s">
        <v>57</v>
      </c>
      <c r="B15" s="1" t="s">
        <v>58</v>
      </c>
      <c r="C15" s="1" t="s">
        <v>26</v>
      </c>
      <c r="D15" s="1" t="s">
        <v>59</v>
      </c>
      <c r="E15" s="1" t="s">
        <v>16</v>
      </c>
      <c r="F15" s="1">
        <v>30</v>
      </c>
      <c r="G15" s="2">
        <v>44042</v>
      </c>
      <c r="H15" s="1">
        <v>5</v>
      </c>
      <c r="I15" s="1">
        <v>65000</v>
      </c>
      <c r="J15" s="1">
        <v>5</v>
      </c>
      <c r="K15" s="1" t="s">
        <v>17</v>
      </c>
      <c r="L15" s="4" t="s">
        <v>60</v>
      </c>
      <c r="N15" s="12" t="s">
        <v>32</v>
      </c>
      <c r="O15">
        <f>COUNTIF(Table1[Department],N15)</f>
        <v>9</v>
      </c>
    </row>
    <row r="16" spans="1:15" x14ac:dyDescent="0.3">
      <c r="A16" s="3" t="s">
        <v>61</v>
      </c>
      <c r="B16" s="1" t="s">
        <v>62</v>
      </c>
      <c r="C16" s="1" t="s">
        <v>38</v>
      </c>
      <c r="D16" s="1" t="s">
        <v>63</v>
      </c>
      <c r="E16" s="1" t="s">
        <v>28</v>
      </c>
      <c r="F16" s="1">
        <v>25</v>
      </c>
      <c r="G16" s="2">
        <v>44935</v>
      </c>
      <c r="H16" s="1">
        <v>1</v>
      </c>
      <c r="I16" s="1">
        <v>38000</v>
      </c>
      <c r="J16" s="1">
        <v>3</v>
      </c>
      <c r="K16" s="1" t="s">
        <v>17</v>
      </c>
      <c r="L16" s="4" t="s">
        <v>64</v>
      </c>
      <c r="N16" s="13" t="s">
        <v>14</v>
      </c>
      <c r="O16">
        <f>COUNTIF(Table1[Department],N16)</f>
        <v>8</v>
      </c>
    </row>
    <row r="17" spans="1:15" x14ac:dyDescent="0.3">
      <c r="A17" s="3" t="s">
        <v>65</v>
      </c>
      <c r="B17" s="1" t="s">
        <v>66</v>
      </c>
      <c r="C17" s="1" t="s">
        <v>67</v>
      </c>
      <c r="D17" s="1" t="s">
        <v>68</v>
      </c>
      <c r="E17" s="1" t="s">
        <v>16</v>
      </c>
      <c r="F17" s="1">
        <v>42</v>
      </c>
      <c r="G17" s="2">
        <v>41183</v>
      </c>
      <c r="H17" s="1">
        <v>16</v>
      </c>
      <c r="I17" s="1">
        <v>90000</v>
      </c>
      <c r="J17" s="1">
        <v>4</v>
      </c>
      <c r="K17" s="1" t="s">
        <v>17</v>
      </c>
      <c r="L17" s="4" t="s">
        <v>69</v>
      </c>
      <c r="N17" s="12" t="s">
        <v>26</v>
      </c>
      <c r="O17">
        <f>COUNTIF(Table1[Department],N17)</f>
        <v>11</v>
      </c>
    </row>
    <row r="18" spans="1:15" x14ac:dyDescent="0.3">
      <c r="A18" s="3" t="s">
        <v>70</v>
      </c>
      <c r="B18" s="1" t="s">
        <v>71</v>
      </c>
      <c r="C18" s="1" t="s">
        <v>14</v>
      </c>
      <c r="D18" s="1" t="s">
        <v>72</v>
      </c>
      <c r="E18" s="1" t="s">
        <v>28</v>
      </c>
      <c r="F18" s="1">
        <v>27</v>
      </c>
      <c r="G18" s="2">
        <v>44335</v>
      </c>
      <c r="H18" s="1">
        <v>3</v>
      </c>
      <c r="I18" s="1">
        <v>42000</v>
      </c>
      <c r="J18" s="1">
        <v>4</v>
      </c>
      <c r="K18" s="1" t="s">
        <v>17</v>
      </c>
      <c r="L18" s="4" t="s">
        <v>73</v>
      </c>
      <c r="N18" s="13" t="s">
        <v>38</v>
      </c>
      <c r="O18">
        <f>COUNTIF(Table1[Department],N18)</f>
        <v>8</v>
      </c>
    </row>
    <row r="19" spans="1:15" x14ac:dyDescent="0.3">
      <c r="A19" s="3" t="s">
        <v>74</v>
      </c>
      <c r="B19" s="1" t="s">
        <v>75</v>
      </c>
      <c r="C19" s="1" t="s">
        <v>32</v>
      </c>
      <c r="D19" s="1" t="s">
        <v>76</v>
      </c>
      <c r="E19" s="1" t="s">
        <v>16</v>
      </c>
      <c r="F19" s="1">
        <v>39</v>
      </c>
      <c r="G19" s="2">
        <v>41873</v>
      </c>
      <c r="H19" s="1">
        <v>13</v>
      </c>
      <c r="I19" s="1">
        <v>75000</v>
      </c>
      <c r="J19" s="1">
        <v>5</v>
      </c>
      <c r="K19" s="1" t="s">
        <v>17</v>
      </c>
      <c r="L19" s="4" t="s">
        <v>77</v>
      </c>
      <c r="N19" s="12" t="s">
        <v>67</v>
      </c>
      <c r="O19">
        <f>COUNTIF(Table1[Department],N19)</f>
        <v>6</v>
      </c>
    </row>
    <row r="20" spans="1:15" x14ac:dyDescent="0.3">
      <c r="A20" s="3" t="s">
        <v>78</v>
      </c>
      <c r="B20" s="1" t="s">
        <v>79</v>
      </c>
      <c r="C20" s="1" t="s">
        <v>26</v>
      </c>
      <c r="D20" s="1" t="s">
        <v>80</v>
      </c>
      <c r="E20" s="1" t="s">
        <v>16</v>
      </c>
      <c r="F20" s="1">
        <v>34</v>
      </c>
      <c r="G20" s="2">
        <v>43437</v>
      </c>
      <c r="H20" s="1">
        <v>6</v>
      </c>
      <c r="I20" s="1">
        <v>62000</v>
      </c>
      <c r="J20" s="1">
        <v>4</v>
      </c>
      <c r="K20" s="1" t="s">
        <v>17</v>
      </c>
      <c r="L20" s="4" t="s">
        <v>35</v>
      </c>
      <c r="N20" s="13" t="s">
        <v>21</v>
      </c>
      <c r="O20">
        <f>COUNTIF(Table1[Department],N20)</f>
        <v>8</v>
      </c>
    </row>
    <row r="21" spans="1:15" x14ac:dyDescent="0.3">
      <c r="A21" s="3" t="s">
        <v>81</v>
      </c>
      <c r="B21" s="1" t="s">
        <v>82</v>
      </c>
      <c r="C21" s="1" t="s">
        <v>38</v>
      </c>
      <c r="D21" s="1" t="s">
        <v>83</v>
      </c>
      <c r="E21" s="1" t="s">
        <v>28</v>
      </c>
      <c r="F21" s="1">
        <v>31</v>
      </c>
      <c r="G21" s="2">
        <v>43725</v>
      </c>
      <c r="H21" s="1">
        <v>5</v>
      </c>
      <c r="I21" s="1">
        <v>54000</v>
      </c>
      <c r="J21" s="1">
        <v>4</v>
      </c>
      <c r="K21" s="1" t="s">
        <v>17</v>
      </c>
      <c r="L21" s="4" t="s">
        <v>29</v>
      </c>
    </row>
    <row r="22" spans="1:15" x14ac:dyDescent="0.3">
      <c r="A22" s="3" t="s">
        <v>84</v>
      </c>
      <c r="B22" s="1" t="s">
        <v>85</v>
      </c>
      <c r="C22" s="1" t="s">
        <v>21</v>
      </c>
      <c r="D22" s="1" t="s">
        <v>22</v>
      </c>
      <c r="E22" s="1" t="s">
        <v>16</v>
      </c>
      <c r="F22" s="1">
        <v>29</v>
      </c>
      <c r="G22" s="2">
        <v>43993</v>
      </c>
      <c r="H22" s="1">
        <v>4</v>
      </c>
      <c r="I22" s="1">
        <v>47000</v>
      </c>
      <c r="J22" s="1">
        <v>3</v>
      </c>
      <c r="K22" s="1" t="s">
        <v>17</v>
      </c>
      <c r="L22" s="4" t="s">
        <v>86</v>
      </c>
    </row>
    <row r="23" spans="1:15" x14ac:dyDescent="0.3">
      <c r="A23" s="3" t="s">
        <v>87</v>
      </c>
      <c r="B23" s="1" t="s">
        <v>88</v>
      </c>
      <c r="C23" s="1" t="s">
        <v>14</v>
      </c>
      <c r="D23" s="1" t="s">
        <v>89</v>
      </c>
      <c r="E23" s="1" t="s">
        <v>28</v>
      </c>
      <c r="F23" s="1">
        <v>26</v>
      </c>
      <c r="G23" s="2">
        <v>44593</v>
      </c>
      <c r="H23" s="1">
        <v>2</v>
      </c>
      <c r="I23" s="1">
        <v>39000</v>
      </c>
      <c r="J23" s="1">
        <v>3</v>
      </c>
      <c r="K23" s="1" t="s">
        <v>17</v>
      </c>
      <c r="L23" s="4" t="s">
        <v>90</v>
      </c>
    </row>
    <row r="24" spans="1:15" x14ac:dyDescent="0.3">
      <c r="A24" s="3" t="s">
        <v>91</v>
      </c>
      <c r="B24" s="1" t="s">
        <v>92</v>
      </c>
      <c r="C24" s="1" t="s">
        <v>67</v>
      </c>
      <c r="D24" s="1" t="s">
        <v>93</v>
      </c>
      <c r="E24" s="1" t="s">
        <v>16</v>
      </c>
      <c r="F24" s="1">
        <v>37</v>
      </c>
      <c r="G24" s="2">
        <v>42577</v>
      </c>
      <c r="H24" s="1">
        <v>9</v>
      </c>
      <c r="I24" s="1">
        <v>61000</v>
      </c>
      <c r="J24" s="1">
        <v>4</v>
      </c>
      <c r="K24" s="1" t="s">
        <v>34</v>
      </c>
      <c r="L24" s="4" t="s">
        <v>94</v>
      </c>
    </row>
    <row r="25" spans="1:15" x14ac:dyDescent="0.3">
      <c r="A25" s="3" t="s">
        <v>95</v>
      </c>
      <c r="B25" s="1" t="s">
        <v>96</v>
      </c>
      <c r="C25" s="1" t="s">
        <v>32</v>
      </c>
      <c r="D25" s="1" t="s">
        <v>97</v>
      </c>
      <c r="E25" s="1" t="s">
        <v>28</v>
      </c>
      <c r="F25" s="1">
        <v>44</v>
      </c>
      <c r="G25" s="2">
        <v>40642</v>
      </c>
      <c r="H25" s="1">
        <v>18</v>
      </c>
      <c r="I25" s="1">
        <v>95000</v>
      </c>
      <c r="J25" s="1">
        <v>5</v>
      </c>
      <c r="K25" s="1" t="s">
        <v>17</v>
      </c>
      <c r="L25" s="4" t="s">
        <v>98</v>
      </c>
    </row>
    <row r="26" spans="1:15" x14ac:dyDescent="0.3">
      <c r="A26" s="3" t="s">
        <v>99</v>
      </c>
      <c r="B26" s="1" t="s">
        <v>100</v>
      </c>
      <c r="C26" s="1" t="s">
        <v>26</v>
      </c>
      <c r="D26" s="1" t="s">
        <v>101</v>
      </c>
      <c r="E26" s="1" t="s">
        <v>16</v>
      </c>
      <c r="F26" s="1">
        <v>40</v>
      </c>
      <c r="G26" s="2">
        <v>41958</v>
      </c>
      <c r="H26" s="1">
        <v>12</v>
      </c>
      <c r="I26" s="1">
        <v>88000</v>
      </c>
      <c r="J26" s="1">
        <v>4</v>
      </c>
      <c r="K26" s="1" t="s">
        <v>17</v>
      </c>
      <c r="L26" s="4" t="s">
        <v>102</v>
      </c>
    </row>
    <row r="27" spans="1:15" x14ac:dyDescent="0.3">
      <c r="A27" s="3" t="s">
        <v>103</v>
      </c>
      <c r="B27" s="1" t="s">
        <v>104</v>
      </c>
      <c r="C27" s="1" t="s">
        <v>38</v>
      </c>
      <c r="D27" s="1" t="s">
        <v>105</v>
      </c>
      <c r="E27" s="1" t="s">
        <v>28</v>
      </c>
      <c r="F27" s="1">
        <v>35</v>
      </c>
      <c r="G27" s="2">
        <v>42891</v>
      </c>
      <c r="H27" s="1">
        <v>8</v>
      </c>
      <c r="I27" s="1">
        <v>72000</v>
      </c>
      <c r="J27" s="1">
        <v>5</v>
      </c>
      <c r="K27" s="1" t="s">
        <v>17</v>
      </c>
      <c r="L27" s="4" t="s">
        <v>106</v>
      </c>
    </row>
    <row r="28" spans="1:15" x14ac:dyDescent="0.3">
      <c r="A28" s="3" t="s">
        <v>107</v>
      </c>
      <c r="B28" s="1" t="s">
        <v>108</v>
      </c>
      <c r="C28" s="1" t="s">
        <v>21</v>
      </c>
      <c r="D28" s="1" t="s">
        <v>109</v>
      </c>
      <c r="E28" s="1" t="s">
        <v>16</v>
      </c>
      <c r="F28" s="1">
        <v>43</v>
      </c>
      <c r="G28" s="2">
        <v>40255</v>
      </c>
      <c r="H28" s="1">
        <v>19</v>
      </c>
      <c r="I28" s="1">
        <v>98000</v>
      </c>
      <c r="J28" s="1">
        <v>4</v>
      </c>
      <c r="K28" s="1" t="s">
        <v>17</v>
      </c>
      <c r="L28" s="4" t="s">
        <v>110</v>
      </c>
    </row>
    <row r="29" spans="1:15" x14ac:dyDescent="0.3">
      <c r="A29" s="3" t="s">
        <v>111</v>
      </c>
      <c r="B29" s="1" t="s">
        <v>112</v>
      </c>
      <c r="C29" s="1" t="s">
        <v>14</v>
      </c>
      <c r="D29" s="1" t="s">
        <v>113</v>
      </c>
      <c r="E29" s="1" t="s">
        <v>28</v>
      </c>
      <c r="F29" s="1">
        <v>38</v>
      </c>
      <c r="G29" s="2">
        <v>42275</v>
      </c>
      <c r="H29" s="1">
        <v>10</v>
      </c>
      <c r="I29" s="1">
        <v>68000</v>
      </c>
      <c r="J29" s="1">
        <v>4</v>
      </c>
      <c r="K29" s="1" t="s">
        <v>17</v>
      </c>
      <c r="L29" s="4" t="s">
        <v>114</v>
      </c>
    </row>
    <row r="30" spans="1:15" x14ac:dyDescent="0.3">
      <c r="A30" s="3" t="s">
        <v>115</v>
      </c>
      <c r="B30" s="1" t="s">
        <v>116</v>
      </c>
      <c r="C30" s="1" t="s">
        <v>26</v>
      </c>
      <c r="D30" s="1" t="s">
        <v>117</v>
      </c>
      <c r="E30" s="1" t="s">
        <v>16</v>
      </c>
      <c r="F30" s="1">
        <v>27</v>
      </c>
      <c r="G30" s="2">
        <v>44844</v>
      </c>
      <c r="H30" s="1">
        <v>2</v>
      </c>
      <c r="I30" s="1">
        <v>48000</v>
      </c>
      <c r="J30" s="1">
        <v>3</v>
      </c>
      <c r="K30" s="1" t="s">
        <v>17</v>
      </c>
      <c r="L30" s="4" t="s">
        <v>118</v>
      </c>
    </row>
    <row r="31" spans="1:15" x14ac:dyDescent="0.3">
      <c r="A31" s="3" t="s">
        <v>119</v>
      </c>
      <c r="B31" s="1" t="s">
        <v>120</v>
      </c>
      <c r="C31" s="1" t="s">
        <v>32</v>
      </c>
      <c r="D31" s="1" t="s">
        <v>121</v>
      </c>
      <c r="E31" s="1" t="s">
        <v>16</v>
      </c>
      <c r="F31" s="1">
        <v>33</v>
      </c>
      <c r="G31" s="2">
        <v>43479</v>
      </c>
      <c r="H31" s="1">
        <v>6</v>
      </c>
      <c r="I31" s="1">
        <v>56000</v>
      </c>
      <c r="J31" s="1">
        <v>4</v>
      </c>
      <c r="K31" s="1" t="s">
        <v>17</v>
      </c>
      <c r="L31" s="4" t="s">
        <v>122</v>
      </c>
    </row>
    <row r="32" spans="1:15" x14ac:dyDescent="0.3">
      <c r="A32" s="3" t="s">
        <v>123</v>
      </c>
      <c r="B32" s="1" t="s">
        <v>124</v>
      </c>
      <c r="C32" s="1" t="s">
        <v>38</v>
      </c>
      <c r="D32" s="1" t="s">
        <v>125</v>
      </c>
      <c r="E32" s="1" t="s">
        <v>28</v>
      </c>
      <c r="F32" s="1">
        <v>28</v>
      </c>
      <c r="G32" s="2">
        <v>44066</v>
      </c>
      <c r="H32" s="1">
        <v>4</v>
      </c>
      <c r="I32" s="1">
        <v>52000</v>
      </c>
      <c r="J32" s="1">
        <v>5</v>
      </c>
      <c r="K32" s="1" t="s">
        <v>17</v>
      </c>
      <c r="L32" s="4" t="s">
        <v>23</v>
      </c>
    </row>
    <row r="33" spans="1:12" x14ac:dyDescent="0.3">
      <c r="A33" s="3" t="s">
        <v>126</v>
      </c>
      <c r="B33" s="1" t="s">
        <v>127</v>
      </c>
      <c r="C33" s="1" t="s">
        <v>67</v>
      </c>
      <c r="D33" s="1" t="s">
        <v>128</v>
      </c>
      <c r="E33" s="1" t="s">
        <v>16</v>
      </c>
      <c r="F33" s="1">
        <v>36</v>
      </c>
      <c r="G33" s="2">
        <v>42492</v>
      </c>
      <c r="H33" s="1">
        <v>9</v>
      </c>
      <c r="I33" s="1">
        <v>67000</v>
      </c>
      <c r="J33" s="1">
        <v>4</v>
      </c>
      <c r="K33" s="1" t="s">
        <v>17</v>
      </c>
      <c r="L33" s="4" t="s">
        <v>129</v>
      </c>
    </row>
    <row r="34" spans="1:12" x14ac:dyDescent="0.3">
      <c r="A34" s="3" t="s">
        <v>130</v>
      </c>
      <c r="B34" s="1" t="s">
        <v>131</v>
      </c>
      <c r="C34" s="1" t="s">
        <v>14</v>
      </c>
      <c r="D34" s="1" t="s">
        <v>132</v>
      </c>
      <c r="E34" s="1" t="s">
        <v>28</v>
      </c>
      <c r="F34" s="1">
        <v>34</v>
      </c>
      <c r="G34" s="2">
        <v>43300</v>
      </c>
      <c r="H34" s="1">
        <v>7</v>
      </c>
      <c r="I34" s="1">
        <v>71000</v>
      </c>
      <c r="J34" s="1">
        <v>5</v>
      </c>
      <c r="K34" s="1" t="s">
        <v>17</v>
      </c>
      <c r="L34" s="4" t="s">
        <v>133</v>
      </c>
    </row>
    <row r="35" spans="1:12" x14ac:dyDescent="0.3">
      <c r="A35" s="3" t="s">
        <v>134</v>
      </c>
      <c r="B35" s="1" t="s">
        <v>135</v>
      </c>
      <c r="C35" s="1" t="s">
        <v>26</v>
      </c>
      <c r="D35" s="1" t="s">
        <v>136</v>
      </c>
      <c r="E35" s="1" t="s">
        <v>16</v>
      </c>
      <c r="F35" s="1">
        <v>31</v>
      </c>
      <c r="G35" s="2">
        <v>43746</v>
      </c>
      <c r="H35" s="1">
        <v>5</v>
      </c>
      <c r="I35" s="1">
        <v>82000</v>
      </c>
      <c r="J35" s="1">
        <v>5</v>
      </c>
      <c r="K35" s="1" t="s">
        <v>17</v>
      </c>
      <c r="L35" s="4" t="s">
        <v>44</v>
      </c>
    </row>
    <row r="36" spans="1:12" x14ac:dyDescent="0.3">
      <c r="A36" s="3" t="s">
        <v>137</v>
      </c>
      <c r="B36" s="1" t="s">
        <v>138</v>
      </c>
      <c r="C36" s="1" t="s">
        <v>21</v>
      </c>
      <c r="D36" s="1" t="s">
        <v>139</v>
      </c>
      <c r="E36" s="1" t="s">
        <v>16</v>
      </c>
      <c r="F36" s="1">
        <v>24</v>
      </c>
      <c r="G36" s="2">
        <v>44986</v>
      </c>
      <c r="H36" s="1">
        <v>1</v>
      </c>
      <c r="I36" s="1">
        <v>32000</v>
      </c>
      <c r="J36" s="1">
        <v>3</v>
      </c>
      <c r="K36" s="1" t="s">
        <v>17</v>
      </c>
      <c r="L36" s="4" t="s">
        <v>140</v>
      </c>
    </row>
    <row r="37" spans="1:12" x14ac:dyDescent="0.3">
      <c r="A37" s="3" t="s">
        <v>141</v>
      </c>
      <c r="B37" s="1" t="s">
        <v>142</v>
      </c>
      <c r="C37" s="1" t="s">
        <v>32</v>
      </c>
      <c r="D37" s="1" t="s">
        <v>143</v>
      </c>
      <c r="E37" s="1" t="s">
        <v>28</v>
      </c>
      <c r="F37" s="1">
        <v>29</v>
      </c>
      <c r="G37" s="2">
        <v>43873</v>
      </c>
      <c r="H37" s="1">
        <v>4</v>
      </c>
      <c r="I37" s="1">
        <v>51000</v>
      </c>
      <c r="J37" s="1">
        <v>4</v>
      </c>
      <c r="K37" s="1" t="s">
        <v>17</v>
      </c>
      <c r="L37" s="4" t="s">
        <v>144</v>
      </c>
    </row>
    <row r="38" spans="1:12" x14ac:dyDescent="0.3">
      <c r="A38" s="3" t="s">
        <v>145</v>
      </c>
      <c r="B38" s="1" t="s">
        <v>146</v>
      </c>
      <c r="C38" s="1" t="s">
        <v>67</v>
      </c>
      <c r="D38" s="1" t="s">
        <v>147</v>
      </c>
      <c r="E38" s="1" t="s">
        <v>16</v>
      </c>
      <c r="F38" s="1">
        <v>41</v>
      </c>
      <c r="G38" s="2">
        <v>41081</v>
      </c>
      <c r="H38" s="1">
        <v>15</v>
      </c>
      <c r="I38" s="1">
        <v>76000</v>
      </c>
      <c r="J38" s="1">
        <v>4</v>
      </c>
      <c r="K38" s="1" t="s">
        <v>17</v>
      </c>
      <c r="L38" s="4" t="s">
        <v>148</v>
      </c>
    </row>
    <row r="39" spans="1:12" x14ac:dyDescent="0.3">
      <c r="A39" s="3" t="s">
        <v>149</v>
      </c>
      <c r="B39" s="1" t="s">
        <v>150</v>
      </c>
      <c r="C39" s="1" t="s">
        <v>38</v>
      </c>
      <c r="D39" s="1" t="s">
        <v>151</v>
      </c>
      <c r="E39" s="1" t="s">
        <v>28</v>
      </c>
      <c r="F39" s="1">
        <v>33</v>
      </c>
      <c r="G39" s="2">
        <v>43207</v>
      </c>
      <c r="H39" s="1">
        <v>6</v>
      </c>
      <c r="I39" s="1">
        <v>59000</v>
      </c>
      <c r="J39" s="1">
        <v>4</v>
      </c>
      <c r="K39" s="1" t="s">
        <v>17</v>
      </c>
      <c r="L39" s="4" t="s">
        <v>18</v>
      </c>
    </row>
    <row r="40" spans="1:12" x14ac:dyDescent="0.3">
      <c r="A40" s="3" t="s">
        <v>152</v>
      </c>
      <c r="B40" s="1" t="s">
        <v>153</v>
      </c>
      <c r="C40" s="1" t="s">
        <v>26</v>
      </c>
      <c r="D40" s="1" t="s">
        <v>154</v>
      </c>
      <c r="E40" s="1" t="s">
        <v>16</v>
      </c>
      <c r="F40" s="1">
        <v>37</v>
      </c>
      <c r="G40" s="2">
        <v>42622</v>
      </c>
      <c r="H40" s="1">
        <v>9</v>
      </c>
      <c r="I40" s="1">
        <v>69000</v>
      </c>
      <c r="J40" s="1">
        <v>3</v>
      </c>
      <c r="K40" s="1" t="s">
        <v>34</v>
      </c>
      <c r="L40" s="4" t="s">
        <v>73</v>
      </c>
    </row>
    <row r="41" spans="1:12" x14ac:dyDescent="0.3">
      <c r="A41" s="3" t="s">
        <v>155</v>
      </c>
      <c r="B41" s="1" t="s">
        <v>156</v>
      </c>
      <c r="C41" s="1" t="s">
        <v>32</v>
      </c>
      <c r="D41" s="1" t="s">
        <v>157</v>
      </c>
      <c r="E41" s="1" t="s">
        <v>28</v>
      </c>
      <c r="F41" s="1">
        <v>45</v>
      </c>
      <c r="G41" s="2">
        <v>40158</v>
      </c>
      <c r="H41" s="1">
        <v>20</v>
      </c>
      <c r="I41" s="1">
        <v>105000</v>
      </c>
      <c r="J41" s="1">
        <v>5</v>
      </c>
      <c r="K41" s="1" t="s">
        <v>17</v>
      </c>
      <c r="L41" s="4" t="s">
        <v>158</v>
      </c>
    </row>
    <row r="42" spans="1:12" x14ac:dyDescent="0.3">
      <c r="A42" s="3" t="s">
        <v>159</v>
      </c>
      <c r="B42" s="1" t="s">
        <v>160</v>
      </c>
      <c r="C42" s="1" t="s">
        <v>21</v>
      </c>
      <c r="D42" s="1" t="s">
        <v>161</v>
      </c>
      <c r="E42" s="1" t="s">
        <v>16</v>
      </c>
      <c r="F42" s="1">
        <v>39</v>
      </c>
      <c r="G42" s="2">
        <v>41675</v>
      </c>
      <c r="H42" s="1">
        <v>11</v>
      </c>
      <c r="I42" s="1">
        <v>83000</v>
      </c>
      <c r="J42" s="1">
        <v>4</v>
      </c>
      <c r="K42" s="1" t="s">
        <v>17</v>
      </c>
      <c r="L42" s="4" t="s">
        <v>86</v>
      </c>
    </row>
    <row r="43" spans="1:12" x14ac:dyDescent="0.3">
      <c r="A43" s="3" t="s">
        <v>162</v>
      </c>
      <c r="B43" s="1" t="s">
        <v>163</v>
      </c>
      <c r="C43" s="1" t="s">
        <v>14</v>
      </c>
      <c r="D43" s="1" t="s">
        <v>164</v>
      </c>
      <c r="E43" s="1" t="s">
        <v>28</v>
      </c>
      <c r="F43" s="1">
        <v>32</v>
      </c>
      <c r="G43" s="2">
        <v>43647</v>
      </c>
      <c r="H43" s="1">
        <v>5</v>
      </c>
      <c r="I43" s="1">
        <v>58000</v>
      </c>
      <c r="J43" s="1">
        <v>4</v>
      </c>
      <c r="K43" s="1" t="s">
        <v>17</v>
      </c>
      <c r="L43" s="4" t="s">
        <v>35</v>
      </c>
    </row>
    <row r="44" spans="1:12" x14ac:dyDescent="0.3">
      <c r="A44" s="3" t="s">
        <v>165</v>
      </c>
      <c r="B44" s="1" t="s">
        <v>166</v>
      </c>
      <c r="C44" s="1" t="s">
        <v>26</v>
      </c>
      <c r="D44" s="1" t="s">
        <v>167</v>
      </c>
      <c r="E44" s="1" t="s">
        <v>16</v>
      </c>
      <c r="F44" s="1">
        <v>34</v>
      </c>
      <c r="G44" s="2">
        <v>43035</v>
      </c>
      <c r="H44" s="1">
        <v>8</v>
      </c>
      <c r="I44" s="1">
        <v>77000</v>
      </c>
      <c r="J44" s="1">
        <v>5</v>
      </c>
      <c r="K44" s="1" t="s">
        <v>17</v>
      </c>
      <c r="L44" s="4" t="s">
        <v>48</v>
      </c>
    </row>
    <row r="45" spans="1:12" x14ac:dyDescent="0.3">
      <c r="A45" s="3" t="s">
        <v>168</v>
      </c>
      <c r="B45" s="1" t="s">
        <v>169</v>
      </c>
      <c r="C45" s="1" t="s">
        <v>38</v>
      </c>
      <c r="D45" s="1" t="s">
        <v>170</v>
      </c>
      <c r="E45" s="1" t="s">
        <v>28</v>
      </c>
      <c r="F45" s="1">
        <v>36</v>
      </c>
      <c r="G45" s="2">
        <v>42443</v>
      </c>
      <c r="H45" s="1">
        <v>10</v>
      </c>
      <c r="I45" s="1">
        <v>74000</v>
      </c>
      <c r="J45" s="1">
        <v>4</v>
      </c>
      <c r="K45" s="1" t="s">
        <v>17</v>
      </c>
      <c r="L45" s="4" t="s">
        <v>40</v>
      </c>
    </row>
    <row r="46" spans="1:12" x14ac:dyDescent="0.3">
      <c r="A46" s="3" t="s">
        <v>171</v>
      </c>
      <c r="B46" s="1" t="s">
        <v>172</v>
      </c>
      <c r="C46" s="1" t="s">
        <v>67</v>
      </c>
      <c r="D46" s="1" t="s">
        <v>173</v>
      </c>
      <c r="E46" s="1" t="s">
        <v>16</v>
      </c>
      <c r="F46" s="1">
        <v>44</v>
      </c>
      <c r="G46" s="2">
        <v>40774</v>
      </c>
      <c r="H46" s="1">
        <v>18</v>
      </c>
      <c r="I46" s="1">
        <v>92000</v>
      </c>
      <c r="J46" s="1">
        <v>4</v>
      </c>
      <c r="K46" s="1" t="s">
        <v>17</v>
      </c>
      <c r="L46" s="4" t="s">
        <v>174</v>
      </c>
    </row>
    <row r="47" spans="1:12" x14ac:dyDescent="0.3">
      <c r="A47" s="3" t="s">
        <v>175</v>
      </c>
      <c r="B47" s="1" t="s">
        <v>176</v>
      </c>
      <c r="C47" s="1" t="s">
        <v>32</v>
      </c>
      <c r="D47" s="1" t="s">
        <v>177</v>
      </c>
      <c r="E47" s="1" t="s">
        <v>28</v>
      </c>
      <c r="F47" s="1">
        <v>35</v>
      </c>
      <c r="G47" s="2">
        <v>43073</v>
      </c>
      <c r="H47" s="1">
        <v>8</v>
      </c>
      <c r="I47" s="1">
        <v>69000</v>
      </c>
      <c r="J47" s="1">
        <v>5</v>
      </c>
      <c r="K47" s="1" t="s">
        <v>17</v>
      </c>
      <c r="L47" s="4" t="s">
        <v>178</v>
      </c>
    </row>
    <row r="48" spans="1:12" x14ac:dyDescent="0.3">
      <c r="A48" s="3" t="s">
        <v>179</v>
      </c>
      <c r="B48" s="1" t="s">
        <v>180</v>
      </c>
      <c r="C48" s="1" t="s">
        <v>21</v>
      </c>
      <c r="D48" s="1" t="s">
        <v>181</v>
      </c>
      <c r="E48" s="1" t="s">
        <v>16</v>
      </c>
      <c r="F48" s="1">
        <v>31</v>
      </c>
      <c r="G48" s="2">
        <v>43591</v>
      </c>
      <c r="H48" s="1">
        <v>5</v>
      </c>
      <c r="I48" s="1">
        <v>63000</v>
      </c>
      <c r="J48" s="1">
        <v>4</v>
      </c>
      <c r="K48" s="1" t="s">
        <v>17</v>
      </c>
      <c r="L48" s="4" t="s">
        <v>182</v>
      </c>
    </row>
    <row r="49" spans="1:12" x14ac:dyDescent="0.3">
      <c r="A49" s="3" t="s">
        <v>183</v>
      </c>
      <c r="B49" s="1" t="s">
        <v>184</v>
      </c>
      <c r="C49" s="1" t="s">
        <v>14</v>
      </c>
      <c r="D49" s="1" t="s">
        <v>185</v>
      </c>
      <c r="E49" s="1" t="s">
        <v>28</v>
      </c>
      <c r="F49" s="1">
        <v>29</v>
      </c>
      <c r="G49" s="2">
        <v>44452</v>
      </c>
      <c r="H49" s="1">
        <v>3</v>
      </c>
      <c r="I49" s="1">
        <v>52000</v>
      </c>
      <c r="J49" s="1">
        <v>4</v>
      </c>
      <c r="K49" s="1" t="s">
        <v>17</v>
      </c>
      <c r="L49" s="4" t="s">
        <v>186</v>
      </c>
    </row>
    <row r="50" spans="1:12" x14ac:dyDescent="0.3">
      <c r="A50" s="3" t="s">
        <v>187</v>
      </c>
      <c r="B50" s="1" t="s">
        <v>188</v>
      </c>
      <c r="C50" s="1" t="s">
        <v>26</v>
      </c>
      <c r="D50" s="1" t="s">
        <v>189</v>
      </c>
      <c r="E50" s="1" t="s">
        <v>16</v>
      </c>
      <c r="F50" s="1">
        <v>38</v>
      </c>
      <c r="G50" s="2">
        <v>42333</v>
      </c>
      <c r="H50" s="1">
        <v>11</v>
      </c>
      <c r="I50" s="1">
        <v>88000</v>
      </c>
      <c r="J50" s="1">
        <v>5</v>
      </c>
      <c r="K50" s="1" t="s">
        <v>17</v>
      </c>
      <c r="L50" s="4" t="s">
        <v>102</v>
      </c>
    </row>
    <row r="51" spans="1:12" x14ac:dyDescent="0.3">
      <c r="A51" s="3" t="s">
        <v>190</v>
      </c>
      <c r="B51" s="1" t="s">
        <v>191</v>
      </c>
      <c r="C51" s="1" t="s">
        <v>38</v>
      </c>
      <c r="D51" s="1" t="s">
        <v>192</v>
      </c>
      <c r="E51" s="1" t="s">
        <v>28</v>
      </c>
      <c r="F51" s="1">
        <v>27</v>
      </c>
      <c r="G51" s="2">
        <v>44730</v>
      </c>
      <c r="H51" s="1">
        <v>2</v>
      </c>
      <c r="I51" s="1">
        <v>46000</v>
      </c>
      <c r="J51" s="1">
        <v>3</v>
      </c>
      <c r="K51" s="1" t="s">
        <v>17</v>
      </c>
      <c r="L51" s="4" t="s">
        <v>193</v>
      </c>
    </row>
    <row r="52" spans="1:12" x14ac:dyDescent="0.3">
      <c r="A52" s="3" t="s">
        <v>194</v>
      </c>
      <c r="B52" s="1" t="s">
        <v>195</v>
      </c>
      <c r="C52" s="1" t="s">
        <v>67</v>
      </c>
      <c r="D52" s="1" t="s">
        <v>196</v>
      </c>
      <c r="E52" s="1" t="s">
        <v>16</v>
      </c>
      <c r="F52" s="1">
        <v>40</v>
      </c>
      <c r="G52" s="2">
        <v>41367</v>
      </c>
      <c r="H52" s="1">
        <v>14</v>
      </c>
      <c r="I52" s="1">
        <v>72000</v>
      </c>
      <c r="J52" s="1">
        <v>4</v>
      </c>
      <c r="K52" s="1" t="s">
        <v>34</v>
      </c>
      <c r="L52" s="4" t="s">
        <v>197</v>
      </c>
    </row>
    <row r="53" spans="1:12" x14ac:dyDescent="0.3">
      <c r="A53" s="3" t="s">
        <v>198</v>
      </c>
      <c r="B53" s="1" t="s">
        <v>199</v>
      </c>
      <c r="C53" s="1" t="s">
        <v>32</v>
      </c>
      <c r="D53" s="1" t="s">
        <v>200</v>
      </c>
      <c r="E53" s="1" t="s">
        <v>28</v>
      </c>
      <c r="F53" s="1">
        <v>34</v>
      </c>
      <c r="G53" s="2">
        <v>43328</v>
      </c>
      <c r="H53" s="1">
        <v>7</v>
      </c>
      <c r="I53" s="1">
        <v>65000</v>
      </c>
      <c r="J53" s="1">
        <v>4</v>
      </c>
      <c r="K53" s="1" t="s">
        <v>17</v>
      </c>
      <c r="L53" s="4" t="s">
        <v>201</v>
      </c>
    </row>
    <row r="54" spans="1:12" x14ac:dyDescent="0.3">
      <c r="A54" s="3" t="s">
        <v>202</v>
      </c>
      <c r="B54" s="1" t="s">
        <v>203</v>
      </c>
      <c r="C54" s="1" t="s">
        <v>21</v>
      </c>
      <c r="D54" s="1" t="s">
        <v>204</v>
      </c>
      <c r="E54" s="1" t="s">
        <v>16</v>
      </c>
      <c r="F54" s="1">
        <v>42</v>
      </c>
      <c r="G54" s="2">
        <v>40917</v>
      </c>
      <c r="H54" s="1">
        <v>16</v>
      </c>
      <c r="I54" s="1">
        <v>91000</v>
      </c>
      <c r="J54" s="1">
        <v>5</v>
      </c>
      <c r="K54" s="1" t="s">
        <v>17</v>
      </c>
      <c r="L54" s="4" t="s">
        <v>205</v>
      </c>
    </row>
    <row r="55" spans="1:12" x14ac:dyDescent="0.3">
      <c r="A55" s="8" t="s">
        <v>206</v>
      </c>
      <c r="B55" s="9" t="s">
        <v>207</v>
      </c>
      <c r="C55" s="9" t="s">
        <v>26</v>
      </c>
      <c r="D55" s="9" t="s">
        <v>208</v>
      </c>
      <c r="E55" s="9" t="s">
        <v>28</v>
      </c>
      <c r="F55" s="9">
        <v>28</v>
      </c>
      <c r="G55" s="10">
        <v>44522</v>
      </c>
      <c r="H55" s="9">
        <v>3</v>
      </c>
      <c r="I55" s="9">
        <v>75000</v>
      </c>
      <c r="J55" s="9">
        <v>5</v>
      </c>
      <c r="K55" s="9" t="s">
        <v>17</v>
      </c>
      <c r="L55" s="11" t="s">
        <v>193</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C814-E84C-4798-9B7D-4B0922FC8D04}">
  <sheetPr>
    <pageSetUpPr fitToPage="1"/>
  </sheetPr>
  <dimension ref="A1:O33"/>
  <sheetViews>
    <sheetView showGridLines="0" tabSelected="1" zoomScale="85" zoomScaleNormal="85" workbookViewId="0">
      <selection activeCell="R5" sqref="R5"/>
    </sheetView>
  </sheetViews>
  <sheetFormatPr defaultRowHeight="14.4" x14ac:dyDescent="0.3"/>
  <cols>
    <col min="7" max="7" width="14.33203125" bestFit="1" customWidth="1"/>
    <col min="8" max="8" width="13.21875" bestFit="1" customWidth="1"/>
  </cols>
  <sheetData>
    <row r="1" spans="1:15" x14ac:dyDescent="0.3">
      <c r="A1" s="14"/>
      <c r="B1" s="14"/>
      <c r="C1" s="14"/>
      <c r="D1" s="14"/>
      <c r="E1" s="14"/>
      <c r="F1" s="14"/>
      <c r="G1" s="14"/>
      <c r="H1" s="14"/>
      <c r="I1" s="14"/>
      <c r="J1" s="14"/>
      <c r="K1" s="14"/>
      <c r="L1" s="14"/>
      <c r="M1" s="14"/>
      <c r="N1" s="14"/>
      <c r="O1" s="14"/>
    </row>
    <row r="2" spans="1:15" x14ac:dyDescent="0.3">
      <c r="A2" s="14"/>
      <c r="B2" s="14"/>
      <c r="C2" s="14"/>
      <c r="D2" s="14"/>
      <c r="E2" s="14"/>
      <c r="F2" s="14"/>
      <c r="G2" s="14"/>
      <c r="H2" s="14"/>
      <c r="I2" s="14"/>
      <c r="J2" s="14"/>
      <c r="K2" s="14"/>
      <c r="L2" s="14"/>
      <c r="M2" s="14"/>
      <c r="N2" s="14"/>
      <c r="O2" s="14"/>
    </row>
    <row r="3" spans="1:15" x14ac:dyDescent="0.3">
      <c r="A3" s="14"/>
      <c r="B3" s="14"/>
      <c r="C3" s="14"/>
      <c r="D3" s="14"/>
      <c r="E3" s="14"/>
      <c r="F3" s="14"/>
      <c r="G3" s="14"/>
      <c r="H3" s="14"/>
      <c r="I3" s="14"/>
      <c r="J3" s="14"/>
      <c r="K3" s="14"/>
      <c r="L3" s="14"/>
      <c r="M3" s="14"/>
      <c r="N3" s="14"/>
      <c r="O3" s="14"/>
    </row>
    <row r="4" spans="1:15" x14ac:dyDescent="0.3">
      <c r="A4" s="14"/>
      <c r="B4" s="14"/>
      <c r="C4" s="14"/>
      <c r="D4" s="14"/>
      <c r="E4" s="14"/>
      <c r="F4" s="14"/>
      <c r="G4" s="14"/>
      <c r="H4" s="14"/>
      <c r="I4" s="14"/>
      <c r="J4" s="14"/>
      <c r="K4" s="14"/>
      <c r="L4" s="14"/>
      <c r="M4" s="14"/>
      <c r="N4" s="14"/>
      <c r="O4" s="14"/>
    </row>
    <row r="5" spans="1:15" x14ac:dyDescent="0.3">
      <c r="A5" s="14"/>
      <c r="B5" s="14"/>
      <c r="C5" s="14"/>
      <c r="D5" s="14"/>
      <c r="E5" s="14"/>
      <c r="F5" s="14"/>
      <c r="G5" s="14"/>
      <c r="H5" s="14"/>
      <c r="I5" s="14"/>
      <c r="J5" s="14"/>
      <c r="K5" s="14"/>
      <c r="L5" s="14"/>
      <c r="M5" s="14"/>
      <c r="N5" s="14"/>
      <c r="O5" s="14"/>
    </row>
    <row r="6" spans="1:15" x14ac:dyDescent="0.3">
      <c r="A6" s="14"/>
      <c r="B6" s="14"/>
      <c r="C6" s="14"/>
      <c r="D6" s="14"/>
      <c r="E6" s="14"/>
      <c r="F6" s="14"/>
      <c r="G6" s="14"/>
      <c r="H6" s="14"/>
      <c r="I6" s="14"/>
      <c r="J6" s="14"/>
      <c r="K6" s="14"/>
      <c r="L6" s="14"/>
      <c r="M6" s="14"/>
      <c r="N6" s="14"/>
      <c r="O6" s="14"/>
    </row>
    <row r="7" spans="1:15" x14ac:dyDescent="0.3">
      <c r="A7" s="14"/>
      <c r="B7" s="14"/>
      <c r="C7" s="14"/>
      <c r="D7" s="14"/>
      <c r="E7" s="14"/>
      <c r="F7" s="14"/>
      <c r="G7" s="14"/>
      <c r="H7" s="14"/>
      <c r="I7" s="14"/>
      <c r="J7" s="14"/>
      <c r="K7" s="14"/>
      <c r="L7" s="14"/>
      <c r="M7" s="14"/>
      <c r="N7" s="14"/>
      <c r="O7" s="14"/>
    </row>
    <row r="8" spans="1:15" x14ac:dyDescent="0.3">
      <c r="A8" s="14"/>
      <c r="B8" s="14"/>
      <c r="C8" s="14"/>
      <c r="D8" s="14"/>
      <c r="E8" s="14"/>
      <c r="F8" s="14"/>
      <c r="G8" s="14"/>
      <c r="H8" s="14"/>
      <c r="I8" s="14"/>
      <c r="J8" s="14"/>
      <c r="K8" s="14"/>
      <c r="L8" s="14"/>
      <c r="M8" s="14"/>
      <c r="N8" s="14"/>
      <c r="O8" s="14"/>
    </row>
    <row r="9" spans="1:15" x14ac:dyDescent="0.3">
      <c r="A9" s="14"/>
      <c r="B9" s="14"/>
      <c r="C9" s="14"/>
      <c r="D9" s="14"/>
      <c r="E9" s="14"/>
      <c r="F9" s="14"/>
      <c r="G9" s="14"/>
      <c r="H9" s="14"/>
      <c r="I9" s="14"/>
      <c r="J9" s="14"/>
      <c r="K9" s="14"/>
      <c r="L9" s="14"/>
      <c r="M9" s="14"/>
      <c r="N9" s="14"/>
      <c r="O9" s="14"/>
    </row>
    <row r="10" spans="1:15" x14ac:dyDescent="0.3">
      <c r="A10" s="14"/>
      <c r="B10" s="14"/>
      <c r="C10" s="14"/>
      <c r="D10" s="14"/>
      <c r="E10" s="14"/>
      <c r="F10" s="14"/>
      <c r="G10" s="14"/>
      <c r="H10" s="14"/>
      <c r="I10" s="14"/>
      <c r="J10" s="14"/>
      <c r="K10" s="14"/>
      <c r="L10" s="14"/>
      <c r="M10" s="14"/>
      <c r="N10" s="14"/>
      <c r="O10" s="14"/>
    </row>
    <row r="11" spans="1:15" x14ac:dyDescent="0.3">
      <c r="A11" s="14"/>
      <c r="B11" s="14"/>
      <c r="C11" s="14"/>
      <c r="D11" s="14"/>
      <c r="E11" s="14"/>
      <c r="F11" s="14"/>
      <c r="G11" s="14"/>
      <c r="H11" s="14"/>
      <c r="I11" s="14"/>
      <c r="J11" s="14"/>
      <c r="K11" s="14"/>
      <c r="L11" s="14"/>
      <c r="M11" s="14"/>
      <c r="N11" s="14"/>
      <c r="O11" s="14"/>
    </row>
    <row r="12" spans="1:15" x14ac:dyDescent="0.3">
      <c r="A12" s="14"/>
      <c r="B12" s="14"/>
      <c r="C12" s="14"/>
      <c r="D12" s="14"/>
      <c r="E12" s="14"/>
      <c r="F12" s="14"/>
      <c r="G12" s="14"/>
      <c r="H12" s="14"/>
      <c r="I12" s="14"/>
      <c r="J12" s="14"/>
      <c r="K12" s="14"/>
      <c r="L12" s="14"/>
      <c r="M12" s="14"/>
      <c r="N12" s="14"/>
      <c r="O12" s="14"/>
    </row>
    <row r="13" spans="1:15" x14ac:dyDescent="0.3">
      <c r="A13" s="14"/>
      <c r="B13" s="14"/>
      <c r="C13" s="14"/>
      <c r="D13" s="14"/>
      <c r="E13" s="14"/>
      <c r="F13" s="14"/>
      <c r="G13" s="14"/>
      <c r="H13" s="14"/>
      <c r="I13" s="14"/>
      <c r="J13" s="14"/>
      <c r="K13" s="14"/>
      <c r="L13" s="14"/>
      <c r="M13" s="14"/>
      <c r="N13" s="14"/>
      <c r="O13" s="14"/>
    </row>
    <row r="14" spans="1:15" x14ac:dyDescent="0.3">
      <c r="A14" s="14"/>
      <c r="B14" s="14"/>
      <c r="C14" s="14"/>
      <c r="D14" s="14"/>
      <c r="E14" s="14"/>
      <c r="F14" s="14"/>
      <c r="G14" s="14"/>
      <c r="H14" s="14"/>
      <c r="I14" s="14"/>
      <c r="J14" s="14"/>
      <c r="K14" s="14"/>
      <c r="L14" s="14"/>
      <c r="M14" s="14"/>
      <c r="N14" s="14"/>
      <c r="O14" s="14"/>
    </row>
    <row r="15" spans="1:15" x14ac:dyDescent="0.3">
      <c r="A15" s="14"/>
      <c r="B15" s="14"/>
      <c r="C15" s="14"/>
      <c r="D15" s="14"/>
      <c r="E15" s="14"/>
      <c r="F15" s="14"/>
      <c r="G15" s="14"/>
      <c r="H15" s="14"/>
      <c r="I15" s="14"/>
      <c r="J15" s="14"/>
      <c r="K15" s="14"/>
      <c r="L15" s="14"/>
      <c r="M15" s="14"/>
      <c r="N15" s="14"/>
      <c r="O15" s="14"/>
    </row>
    <row r="16" spans="1:15" x14ac:dyDescent="0.3">
      <c r="A16" s="14"/>
      <c r="B16" s="14"/>
      <c r="C16" s="14"/>
      <c r="D16" s="14"/>
      <c r="E16" s="14"/>
      <c r="F16" s="14"/>
      <c r="G16" s="14"/>
      <c r="H16" s="14"/>
      <c r="I16" s="14"/>
      <c r="J16" s="14"/>
      <c r="K16" s="14"/>
      <c r="L16" s="14"/>
      <c r="M16" s="14"/>
      <c r="N16" s="14"/>
      <c r="O16" s="14"/>
    </row>
    <row r="17" spans="1:15" x14ac:dyDescent="0.3">
      <c r="A17" s="14"/>
      <c r="B17" s="14"/>
      <c r="C17" s="14"/>
      <c r="D17" s="14"/>
      <c r="E17" s="14"/>
      <c r="F17" s="14"/>
      <c r="G17" s="14"/>
      <c r="H17" s="14"/>
      <c r="I17" s="14"/>
      <c r="J17" s="14"/>
      <c r="K17" s="14"/>
      <c r="L17" s="14"/>
      <c r="M17" s="14"/>
      <c r="N17" s="14"/>
      <c r="O17" s="14"/>
    </row>
    <row r="18" spans="1:15" x14ac:dyDescent="0.3">
      <c r="A18" s="14"/>
      <c r="B18" s="14"/>
      <c r="C18" s="14"/>
      <c r="D18" s="14"/>
      <c r="E18" s="14"/>
      <c r="F18" s="14"/>
      <c r="G18" s="14"/>
      <c r="H18" s="14"/>
      <c r="I18" s="14"/>
      <c r="J18" s="14"/>
      <c r="K18" s="14"/>
      <c r="L18" s="14"/>
      <c r="M18" s="14"/>
      <c r="N18" s="14"/>
      <c r="O18" s="14"/>
    </row>
    <row r="19" spans="1:15" x14ac:dyDescent="0.3">
      <c r="A19" s="14"/>
      <c r="B19" s="14"/>
      <c r="C19" s="14"/>
      <c r="D19" s="14"/>
      <c r="E19" s="14"/>
      <c r="F19" s="14"/>
      <c r="G19" s="14"/>
      <c r="H19" s="14"/>
      <c r="I19" s="14"/>
      <c r="J19" s="14"/>
      <c r="K19" s="14"/>
      <c r="L19" s="14"/>
      <c r="M19" s="14"/>
      <c r="N19" s="14"/>
      <c r="O19" s="14"/>
    </row>
    <row r="20" spans="1:15" x14ac:dyDescent="0.3">
      <c r="A20" s="14"/>
      <c r="B20" s="14"/>
      <c r="C20" s="14"/>
      <c r="D20" s="14"/>
      <c r="E20" s="14"/>
      <c r="F20" s="14"/>
      <c r="G20" s="14"/>
      <c r="H20" s="14"/>
      <c r="I20" s="14"/>
      <c r="J20" s="14"/>
      <c r="K20" s="14"/>
      <c r="L20" s="14"/>
      <c r="M20" s="14"/>
      <c r="N20" s="14"/>
      <c r="O20" s="14"/>
    </row>
    <row r="21" spans="1:15" x14ac:dyDescent="0.3">
      <c r="A21" s="14"/>
      <c r="B21" s="14"/>
      <c r="C21" s="14"/>
      <c r="D21" s="14"/>
      <c r="E21" s="14"/>
      <c r="F21" s="14"/>
      <c r="G21" s="14"/>
      <c r="H21" s="14"/>
      <c r="I21" s="14"/>
      <c r="J21" s="14"/>
      <c r="K21" s="14"/>
      <c r="L21" s="14"/>
      <c r="M21" s="14"/>
      <c r="N21" s="14"/>
      <c r="O21" s="14"/>
    </row>
    <row r="22" spans="1:15" x14ac:dyDescent="0.3">
      <c r="A22" s="14"/>
      <c r="B22" s="14"/>
      <c r="C22" s="14"/>
      <c r="D22" s="14"/>
      <c r="E22" s="14"/>
      <c r="F22" s="14"/>
      <c r="G22" s="14"/>
      <c r="H22" s="14"/>
      <c r="I22" s="14"/>
      <c r="J22" s="14"/>
      <c r="K22" s="14"/>
      <c r="L22" s="14"/>
      <c r="M22" s="14"/>
      <c r="N22" s="14"/>
      <c r="O22" s="14"/>
    </row>
    <row r="23" spans="1:15" x14ac:dyDescent="0.3">
      <c r="A23" s="14"/>
      <c r="B23" s="14"/>
      <c r="C23" s="14"/>
      <c r="D23" s="14"/>
      <c r="E23" s="14"/>
      <c r="F23" s="14"/>
      <c r="G23" s="14"/>
      <c r="H23" s="14"/>
      <c r="I23" s="14"/>
      <c r="J23" s="14"/>
      <c r="K23" s="14"/>
      <c r="L23" s="14"/>
      <c r="M23" s="14"/>
      <c r="N23" s="14"/>
      <c r="O23" s="14"/>
    </row>
    <row r="24" spans="1:15" x14ac:dyDescent="0.3">
      <c r="A24" s="14"/>
      <c r="B24" s="14"/>
      <c r="C24" s="14"/>
      <c r="D24" s="14"/>
      <c r="E24" s="14"/>
      <c r="F24" s="14"/>
      <c r="G24" s="14"/>
      <c r="H24" s="14"/>
      <c r="I24" s="14"/>
      <c r="J24" s="14"/>
      <c r="K24" s="14"/>
      <c r="L24" s="14"/>
      <c r="M24" s="14"/>
      <c r="N24" s="14"/>
      <c r="O24" s="14"/>
    </row>
    <row r="25" spans="1:15" x14ac:dyDescent="0.3">
      <c r="A25" s="14"/>
      <c r="B25" s="14"/>
      <c r="C25" s="14"/>
      <c r="D25" s="14"/>
      <c r="E25" s="14"/>
      <c r="F25" s="14"/>
      <c r="G25" s="14"/>
      <c r="H25" s="14"/>
      <c r="I25" s="14"/>
      <c r="J25" s="14"/>
      <c r="K25" s="14"/>
      <c r="L25" s="14"/>
      <c r="M25" s="14"/>
      <c r="N25" s="14"/>
      <c r="O25" s="14"/>
    </row>
    <row r="26" spans="1:15" x14ac:dyDescent="0.3">
      <c r="A26" s="14"/>
      <c r="B26" s="14"/>
      <c r="C26" s="14"/>
      <c r="D26" s="14"/>
      <c r="E26" s="14"/>
      <c r="F26" s="14"/>
      <c r="G26" s="14"/>
      <c r="H26" s="14"/>
      <c r="I26" s="14"/>
      <c r="J26" s="14"/>
      <c r="K26" s="14"/>
      <c r="L26" s="14"/>
      <c r="M26" s="14"/>
      <c r="N26" s="14"/>
      <c r="O26" s="14"/>
    </row>
    <row r="27" spans="1:15" x14ac:dyDescent="0.3">
      <c r="A27" s="14"/>
      <c r="B27" s="14"/>
      <c r="C27" s="14"/>
      <c r="D27" s="14"/>
      <c r="E27" s="14"/>
      <c r="F27" s="14"/>
      <c r="G27" s="14"/>
      <c r="H27" s="14"/>
      <c r="I27" s="14"/>
      <c r="J27" s="14"/>
      <c r="K27" s="14"/>
      <c r="L27" s="14"/>
      <c r="M27" s="14"/>
      <c r="N27" s="14"/>
      <c r="O27" s="14"/>
    </row>
    <row r="28" spans="1:15" x14ac:dyDescent="0.3">
      <c r="A28" s="14"/>
      <c r="B28" s="14"/>
      <c r="C28" s="14"/>
      <c r="D28" s="14"/>
      <c r="E28" s="14"/>
      <c r="F28" s="14"/>
      <c r="G28" s="14"/>
      <c r="H28" s="14"/>
      <c r="I28" s="14"/>
      <c r="J28" s="14"/>
      <c r="K28" s="14"/>
      <c r="L28" s="14"/>
      <c r="M28" s="14"/>
      <c r="N28" s="14"/>
      <c r="O28" s="14"/>
    </row>
    <row r="29" spans="1:15" x14ac:dyDescent="0.3">
      <c r="A29" s="14"/>
      <c r="B29" s="14"/>
      <c r="C29" s="14"/>
      <c r="D29" s="14"/>
      <c r="E29" s="14"/>
      <c r="F29" s="14"/>
      <c r="G29" s="14"/>
      <c r="H29" s="14"/>
      <c r="I29" s="14"/>
      <c r="J29" s="14"/>
      <c r="K29" s="14"/>
      <c r="L29" s="14"/>
      <c r="M29" s="14"/>
      <c r="N29" s="14"/>
      <c r="O29" s="14"/>
    </row>
    <row r="30" spans="1:15" x14ac:dyDescent="0.3">
      <c r="A30" s="14"/>
      <c r="B30" s="14"/>
      <c r="C30" s="14"/>
      <c r="D30" s="14"/>
      <c r="E30" s="14"/>
      <c r="F30" s="14"/>
      <c r="G30" s="14"/>
      <c r="H30" s="14"/>
      <c r="I30" s="14"/>
      <c r="J30" s="14"/>
      <c r="K30" s="14"/>
      <c r="L30" s="14"/>
      <c r="M30" s="14"/>
      <c r="N30" s="14"/>
      <c r="O30" s="14"/>
    </row>
    <row r="31" spans="1:15" x14ac:dyDescent="0.3">
      <c r="A31" s="14"/>
      <c r="B31" s="14"/>
      <c r="C31" s="14"/>
      <c r="D31" s="14"/>
      <c r="E31" s="14"/>
      <c r="F31" s="14"/>
      <c r="G31" s="14"/>
      <c r="H31" s="14"/>
      <c r="I31" s="14"/>
      <c r="J31" s="14"/>
      <c r="K31" s="14"/>
      <c r="L31" s="14"/>
      <c r="M31" s="14"/>
      <c r="N31" s="14"/>
      <c r="O31" s="14"/>
    </row>
    <row r="32" spans="1:15" x14ac:dyDescent="0.3">
      <c r="A32" s="14"/>
      <c r="B32" s="14"/>
      <c r="C32" s="14"/>
      <c r="D32" s="14"/>
      <c r="E32" s="14"/>
      <c r="F32" s="14"/>
      <c r="G32" s="14"/>
      <c r="H32" s="14"/>
      <c r="I32" s="14"/>
      <c r="J32" s="14"/>
      <c r="K32" s="14"/>
      <c r="L32" s="14"/>
      <c r="M32" s="14"/>
      <c r="N32" s="14"/>
      <c r="O32" s="14"/>
    </row>
    <row r="33" spans="1:15" x14ac:dyDescent="0.3">
      <c r="A33" s="14"/>
      <c r="B33" s="14"/>
      <c r="C33" s="14"/>
      <c r="D33" s="14"/>
      <c r="E33" s="14"/>
      <c r="F33" s="14"/>
      <c r="G33" s="14"/>
      <c r="H33" s="14"/>
      <c r="I33" s="14"/>
      <c r="J33" s="14"/>
      <c r="K33" s="14"/>
      <c r="L33" s="14"/>
      <c r="M33" s="14"/>
      <c r="N33" s="14"/>
      <c r="O33" s="14"/>
    </row>
  </sheetData>
  <pageMargins left="0.25" right="0.25" top="0.75" bottom="0.75" header="0.3" footer="0.3"/>
  <pageSetup scale="9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Rathod Prashantkumar P</dc:creator>
  <cp:lastModifiedBy>Rathod Prashantkumar P</cp:lastModifiedBy>
  <cp:lastPrinted>2026-01-09T19:11:30Z</cp:lastPrinted>
  <dcterms:created xsi:type="dcterms:W3CDTF">2026-01-09T17:21:55Z</dcterms:created>
  <dcterms:modified xsi:type="dcterms:W3CDTF">2026-01-09T19:13:57Z</dcterms:modified>
</cp:coreProperties>
</file>