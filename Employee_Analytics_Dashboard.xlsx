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drawings/drawing2.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Ex2.xml" ContentType="application/vnd.ms-office.chartex+xml"/>
  <Override PartName="/xl/charts/style5.xml" ContentType="application/vnd.ms-office.chartstyle+xml"/>
  <Override PartName="/xl/charts/colors5.xml" ContentType="application/vnd.ms-office.chartcolorstyle+xml"/>
  <Override PartName="/xl/charts/chart4.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mc:AlternateContent xmlns:mc="http://schemas.openxmlformats.org/markup-compatibility/2006">
    <mc:Choice Requires="x15">
      <x15ac:absPath xmlns:x15ac="http://schemas.microsoft.com/office/spreadsheetml/2010/11/ac" url="C:\Users\Buddy\Downloads\"/>
    </mc:Choice>
  </mc:AlternateContent>
  <xr:revisionPtr revIDLastSave="0" documentId="13_ncr:1_{1B5901B5-41C2-4542-A51D-679805B0AF26}" xr6:coauthVersionLast="47" xr6:coauthVersionMax="47" xr10:uidLastSave="{00000000-0000-0000-0000-000000000000}"/>
  <bookViews>
    <workbookView xWindow="-108" yWindow="-108" windowWidth="23256" windowHeight="13176" xr2:uid="{BED1AE71-A683-4822-B444-221194E6B7BA}"/>
  </bookViews>
  <sheets>
    <sheet name="Raw Data" sheetId="1" r:id="rId1"/>
    <sheet name="Analysis" sheetId="3" r:id="rId2"/>
    <sheet name="Dashboard" sheetId="2" r:id="rId3"/>
  </sheets>
  <definedNames>
    <definedName name="_xlchart.v1.0" hidden="1">Analysis!$A$2:$A$3</definedName>
    <definedName name="_xlchart.v1.1" hidden="1">Analysis!$B$2:$B$3</definedName>
    <definedName name="_xlchart.v1.2" hidden="1">Analysis!$A$6:$A$7</definedName>
    <definedName name="_xlchart.v1.3" hidden="1">Analysis!$C$6:$C$7</definedName>
    <definedName name="Slicer_Department">#N/A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22" i="3" l="1"/>
  <c r="B21" i="3"/>
  <c r="B20" i="3"/>
  <c r="B19" i="3"/>
  <c r="B18" i="3"/>
  <c r="B15" i="3"/>
  <c r="B14" i="3"/>
  <c r="B13" i="3"/>
  <c r="B12" i="3"/>
  <c r="B11" i="3"/>
  <c r="B10" i="3"/>
  <c r="B7" i="3"/>
  <c r="C7" i="3" s="1"/>
  <c r="B6" i="3"/>
  <c r="C6" i="3" s="1"/>
  <c r="B3" i="3"/>
  <c r="C3" i="3" s="1"/>
  <c r="B2" i="3"/>
  <c r="C2" i="3" s="1"/>
</calcChain>
</file>

<file path=xl/sharedStrings.xml><?xml version="1.0" encoding="utf-8"?>
<sst xmlns="http://schemas.openxmlformats.org/spreadsheetml/2006/main" count="380" uniqueCount="217">
  <si>
    <t>Employee ID</t>
  </si>
  <si>
    <t>Employee Name</t>
  </si>
  <si>
    <t>Department</t>
  </si>
  <si>
    <t>Designation</t>
  </si>
  <si>
    <t>Gender</t>
  </si>
  <si>
    <t>Age</t>
  </si>
  <si>
    <t>Joining Date</t>
  </si>
  <si>
    <t>Experience (Years)</t>
  </si>
  <si>
    <t>Salary</t>
  </si>
  <si>
    <t>Performance Rating</t>
  </si>
  <si>
    <t>Status</t>
  </si>
  <si>
    <t>E001</t>
  </si>
  <si>
    <t>Aarav Sharma</t>
  </si>
  <si>
    <t>HR</t>
  </si>
  <si>
    <t>HR Executive</t>
  </si>
  <si>
    <t>Male</t>
  </si>
  <si>
    <t>Active</t>
  </si>
  <si>
    <t>E002</t>
  </si>
  <si>
    <t>Vihaan Patel</t>
  </si>
  <si>
    <t>Sales</t>
  </si>
  <si>
    <t>Sales Executive</t>
  </si>
  <si>
    <t>E003</t>
  </si>
  <si>
    <t>Ananya Iyer</t>
  </si>
  <si>
    <t>IT</t>
  </si>
  <si>
    <t>Software Engineer</t>
  </si>
  <si>
    <t>Female</t>
  </si>
  <si>
    <t>E004</t>
  </si>
  <si>
    <t>Rohan Mehta</t>
  </si>
  <si>
    <t>Finance</t>
  </si>
  <si>
    <t>Accountant</t>
  </si>
  <si>
    <t>Inactive</t>
  </si>
  <si>
    <t>E005</t>
  </si>
  <si>
    <t>Neha Verma</t>
  </si>
  <si>
    <t>Marketing</t>
  </si>
  <si>
    <t>Marketing Analyst</t>
  </si>
  <si>
    <t>E006</t>
  </si>
  <si>
    <t>Aditya Singh</t>
  </si>
  <si>
    <t>Senior Developer</t>
  </si>
  <si>
    <t>E007</t>
  </si>
  <si>
    <t>Priya Nair</t>
  </si>
  <si>
    <t>HR Manager</t>
  </si>
  <si>
    <t>E008</t>
  </si>
  <si>
    <t>Karan Malhotra</t>
  </si>
  <si>
    <t>Sales Manager</t>
  </si>
  <si>
    <t>E009</t>
  </si>
  <si>
    <t>Sneha Kulkarni</t>
  </si>
  <si>
    <t>Financial Analyst</t>
  </si>
  <si>
    <t>E010</t>
  </si>
  <si>
    <t>Arjun Rao</t>
  </si>
  <si>
    <t>Data Analyst</t>
  </si>
  <si>
    <t>E011</t>
  </si>
  <si>
    <t>Pooja Deshmukh</t>
  </si>
  <si>
    <t>SEO Specialist</t>
  </si>
  <si>
    <t>E012</t>
  </si>
  <si>
    <t>Manish Gupta</t>
  </si>
  <si>
    <t>Operations</t>
  </si>
  <si>
    <t>Operations Manager</t>
  </si>
  <si>
    <t>E013</t>
  </si>
  <si>
    <t>Ritika Jain</t>
  </si>
  <si>
    <t>Recruiter</t>
  </si>
  <si>
    <t>E014</t>
  </si>
  <si>
    <t>Amit Kulkarni</t>
  </si>
  <si>
    <t>Senior Accountant</t>
  </si>
  <si>
    <t>E015</t>
  </si>
  <si>
    <t>Shubham Patil</t>
  </si>
  <si>
    <t>System Administrator</t>
  </si>
  <si>
    <t>E016</t>
  </si>
  <si>
    <t>Kavita Rao</t>
  </si>
  <si>
    <t>Content Strategist</t>
  </si>
  <si>
    <t>E017</t>
  </si>
  <si>
    <t>Rahul Choudhary</t>
  </si>
  <si>
    <t>E018</t>
  </si>
  <si>
    <t>Nidhi Saxena</t>
  </si>
  <si>
    <t>HR Analyst</t>
  </si>
  <si>
    <t>E019</t>
  </si>
  <si>
    <t>Suresh Kumar</t>
  </si>
  <si>
    <t>Operations Executive</t>
  </si>
  <si>
    <t>E020</t>
  </si>
  <si>
    <t>Meera Joshi</t>
  </si>
  <si>
    <t>Finance Manager</t>
  </si>
  <si>
    <t>E021</t>
  </si>
  <si>
    <t>Raj Malhotra</t>
  </si>
  <si>
    <t>Project Manager</t>
  </si>
  <si>
    <t>E022</t>
  </si>
  <si>
    <t>Aishwarya Pillai</t>
  </si>
  <si>
    <t>Brand Manager</t>
  </si>
  <si>
    <t>E023</t>
  </si>
  <si>
    <t>Vikas Yadav</t>
  </si>
  <si>
    <t>Regional Manager</t>
  </si>
  <si>
    <t>E024</t>
  </si>
  <si>
    <t>Neelam Singh</t>
  </si>
  <si>
    <t>Training Manager</t>
  </si>
  <si>
    <t>E025</t>
  </si>
  <si>
    <t>Akash Mishra</t>
  </si>
  <si>
    <t>QA Engineer</t>
  </si>
  <si>
    <t>E026</t>
  </si>
  <si>
    <t>Pankaj Verma</t>
  </si>
  <si>
    <t>Budget Analyst</t>
  </si>
  <si>
    <t>E027</t>
  </si>
  <si>
    <t>Sonal Mehta</t>
  </si>
  <si>
    <t>Social Media Manager</t>
  </si>
  <si>
    <t>E028</t>
  </si>
  <si>
    <t>Ritesh Soni</t>
  </si>
  <si>
    <t>Supply Chain Analyst</t>
  </si>
  <si>
    <t>E029</t>
  </si>
  <si>
    <t>Deepika Arora</t>
  </si>
  <si>
    <t>HR Business Partner</t>
  </si>
  <si>
    <t>E030</t>
  </si>
  <si>
    <t>Naveen Reddy</t>
  </si>
  <si>
    <t>Cloud Engineer</t>
  </si>
  <si>
    <t>E031</t>
  </si>
  <si>
    <t>Priyanshu Tiwari</t>
  </si>
  <si>
    <t>Sales Trainee</t>
  </si>
  <si>
    <t>E032</t>
  </si>
  <si>
    <t>Monika Kapoor</t>
  </si>
  <si>
    <t>Audit Executive</t>
  </si>
  <si>
    <t>E033</t>
  </si>
  <si>
    <t>Sachin Pawar</t>
  </si>
  <si>
    <t>Plant Supervisor</t>
  </si>
  <si>
    <t>E034</t>
  </si>
  <si>
    <t>Farah Khan</t>
  </si>
  <si>
    <t>PR Executive</t>
  </si>
  <si>
    <t>E035</t>
  </si>
  <si>
    <t>Ajay Sharma</t>
  </si>
  <si>
    <t>Network Engineer</t>
  </si>
  <si>
    <t>E036</t>
  </si>
  <si>
    <t>Rupal Shah</t>
  </si>
  <si>
    <t>Tax Consultant</t>
  </si>
  <si>
    <t>E037</t>
  </si>
  <si>
    <t>Imran Sheikh</t>
  </si>
  <si>
    <t>Key Account Manager</t>
  </si>
  <si>
    <t>E038</t>
  </si>
  <si>
    <t>Swati Kulkarni</t>
  </si>
  <si>
    <t>Compensation Analyst</t>
  </si>
  <si>
    <t>E039</t>
  </si>
  <si>
    <t>Rohit Nair</t>
  </si>
  <si>
    <t>BI Developer</t>
  </si>
  <si>
    <t>E040</t>
  </si>
  <si>
    <t>Tanya Gupta</t>
  </si>
  <si>
    <t>Campaign Manager</t>
  </si>
  <si>
    <t>E041</t>
  </si>
  <si>
    <t>Mukesh Yadav</t>
  </si>
  <si>
    <t>Logistics Manager</t>
  </si>
  <si>
    <t>E042</t>
  </si>
  <si>
    <t>Pallavi Joshi</t>
  </si>
  <si>
    <t>Cost Accountant</t>
  </si>
  <si>
    <t>E043</t>
  </si>
  <si>
    <t>Aman Arora</t>
  </si>
  <si>
    <t>Inside Sales Lead</t>
  </si>
  <si>
    <t>E044</t>
  </si>
  <si>
    <t>Kirti Mishra</t>
  </si>
  <si>
    <t>Employee Engagement Lead</t>
  </si>
  <si>
    <t>E045</t>
  </si>
  <si>
    <t>Sanjay Bansal</t>
  </si>
  <si>
    <t>DevOps Engineer</t>
  </si>
  <si>
    <t>E046</t>
  </si>
  <si>
    <t>Ankita Sen</t>
  </si>
  <si>
    <t>Market Research Analyst</t>
  </si>
  <si>
    <t>E047</t>
  </si>
  <si>
    <t>Ravi Prakash</t>
  </si>
  <si>
    <t>Warehouse Supervisor</t>
  </si>
  <si>
    <t>E048</t>
  </si>
  <si>
    <t>Poonam Rathi</t>
  </si>
  <si>
    <t>Treasury Analyst</t>
  </si>
  <si>
    <t>E049</t>
  </si>
  <si>
    <t>Kunal Joshi</t>
  </si>
  <si>
    <t>Channel Sales Manager</t>
  </si>
  <si>
    <t>E050</t>
  </si>
  <si>
    <t>Shreya Banerjee</t>
  </si>
  <si>
    <t>AI Analyst</t>
  </si>
  <si>
    <t xml:space="preserve">Total Active </t>
  </si>
  <si>
    <t>Total Inactive</t>
  </si>
  <si>
    <t>%</t>
  </si>
  <si>
    <t>Values</t>
  </si>
  <si>
    <t>Employee</t>
  </si>
  <si>
    <t>Performance</t>
  </si>
  <si>
    <t>Address</t>
  </si>
  <si>
    <t>Mumbai, Maharashtra, India</t>
  </si>
  <si>
    <t>Ahmedabad, Gujarat, India</t>
  </si>
  <si>
    <t>Bengaluru, Karnataka, India</t>
  </si>
  <si>
    <t>Pune, Maharashtra, India</t>
  </si>
  <si>
    <t>Delhi, India</t>
  </si>
  <si>
    <t>Hyderabad, Telangana, India</t>
  </si>
  <si>
    <t>Kochi, Kerala, India</t>
  </si>
  <si>
    <t>Chandigarh, India</t>
  </si>
  <si>
    <t>Nagpur, Maharashtra, India</t>
  </si>
  <si>
    <t>Chennai, Tamil Nadu, India</t>
  </si>
  <si>
    <t>Aurangabad, Maharashtra, India</t>
  </si>
  <si>
    <t>Indore, Madhya Pradesh, India</t>
  </si>
  <si>
    <t>Jaipur, Rajasthan, India</t>
  </si>
  <si>
    <t>Nashik, Maharashtra, India</t>
  </si>
  <si>
    <t>Bhopal, Madhya Pradesh, India</t>
  </si>
  <si>
    <t>Noida, Uttar Pradesh, India</t>
  </si>
  <si>
    <t>Coimbatore, Tamil Nadu, India</t>
  </si>
  <si>
    <t>Surat, Gujarat, India</t>
  </si>
  <si>
    <t>Gurugram, Haryana, India</t>
  </si>
  <si>
    <t>Thiruvananthapuram, Kerala, India</t>
  </si>
  <si>
    <t>Meerut, Uttar Pradesh, India</t>
  </si>
  <si>
    <t>Patna, Bihar, India</t>
  </si>
  <si>
    <t>Kanpur, Uttar Pradesh, India</t>
  </si>
  <si>
    <t>Lucknow, Uttar Pradesh, India</t>
  </si>
  <si>
    <t>Ranchi, Jharkhand, India</t>
  </si>
  <si>
    <t>Faridabad, Haryana, India</t>
  </si>
  <si>
    <t>Rewa, Madhya Pradesh, India</t>
  </si>
  <si>
    <t>Amritsar, Punjab, India</t>
  </si>
  <si>
    <t>Satara, Maharashtra, India</t>
  </si>
  <si>
    <t>Vadodara, Gujarat, India</t>
  </si>
  <si>
    <t>Agra, Uttar Pradesh, India</t>
  </si>
  <si>
    <t>Udaipur, Rajasthan, India</t>
  </si>
  <si>
    <t>Ludhiana, Punjab, India</t>
  </si>
  <si>
    <t>Raipur, Chhattisgarh, India</t>
  </si>
  <si>
    <t>Kolkata, West Bengal, India</t>
  </si>
  <si>
    <t>Varanasi, Uttar Pradesh, India</t>
  </si>
  <si>
    <t>Jodhpur, Rajasthan, India</t>
  </si>
  <si>
    <t>Navi Mumbai, Maharashtra, India</t>
  </si>
  <si>
    <t>ratio</t>
  </si>
  <si>
    <t>total 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</si>
</sst>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5">
    <fill>
      <patternFill patternType="none"/>
    </fill>
    <fill>
      <patternFill patternType="gray125"/>
    </fill>
    <fill>
      <patternFill patternType="solid">
        <fgColor theme="1"/>
        <bgColor indexed="64"/>
      </patternFill>
    </fill>
    <fill>
      <patternFill patternType="solid">
        <fgColor theme="4" tint="0.79998168889431442"/>
        <bgColor theme="4" tint="0.79998168889431442"/>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s>
  <cellStyleXfs count="1">
    <xf numFmtId="0" fontId="0" fillId="0" borderId="0"/>
  </cellStyleXfs>
  <cellXfs count="17">
    <xf numFmtId="0" fontId="0" fillId="0" borderId="0" xfId="0"/>
    <xf numFmtId="0" fontId="0" fillId="0" borderId="1" xfId="0" applyBorder="1" applyAlignment="1">
      <alignment horizontal="center" vertical="center"/>
    </xf>
    <xf numFmtId="14" fontId="0" fillId="0" borderId="1" xfId="0" applyNumberFormat="1" applyBorder="1" applyAlignment="1">
      <alignment horizontal="center" vertical="center"/>
    </xf>
    <xf numFmtId="0" fontId="0" fillId="0" borderId="2" xfId="0" applyBorder="1" applyAlignment="1">
      <alignment horizontal="center" vertical="center"/>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0" fillId="0" borderId="5" xfId="0" applyBorder="1" applyAlignment="1">
      <alignment horizontal="center" vertical="center"/>
    </xf>
    <xf numFmtId="0" fontId="0" fillId="0" borderId="6" xfId="0" applyBorder="1" applyAlignment="1">
      <alignment horizontal="center" vertical="center"/>
    </xf>
    <xf numFmtId="14" fontId="0" fillId="0" borderId="6" xfId="0" applyNumberFormat="1" applyBorder="1" applyAlignment="1">
      <alignment horizontal="center" vertical="center"/>
    </xf>
    <xf numFmtId="0" fontId="0" fillId="2" borderId="0" xfId="0" applyFill="1"/>
    <xf numFmtId="0" fontId="0" fillId="0" borderId="1" xfId="0" applyBorder="1"/>
    <xf numFmtId="0" fontId="0" fillId="0" borderId="1" xfId="0" applyBorder="1" applyAlignment="1">
      <alignment horizontal="center"/>
    </xf>
    <xf numFmtId="0" fontId="0" fillId="0" borderId="1" xfId="0" applyBorder="1" applyAlignment="1">
      <alignment horizontal="left"/>
    </xf>
    <xf numFmtId="0" fontId="0" fillId="3" borderId="1" xfId="0" applyFill="1" applyBorder="1" applyAlignment="1">
      <alignment horizontal="center" vertical="center"/>
    </xf>
    <xf numFmtId="0" fontId="1" fillId="0" borderId="0" xfId="0" applyFont="1" applyAlignment="1">
      <alignment horizontal="center" vertical="center" wrapText="1"/>
    </xf>
    <xf numFmtId="0" fontId="0" fillId="0" borderId="0" xfId="0" applyAlignment="1">
      <alignment vertical="center" wrapText="1"/>
    </xf>
    <xf numFmtId="0" fontId="0" fillId="4" borderId="0" xfId="0" applyFill="1" applyAlignment="1">
      <alignment horizontal="center"/>
    </xf>
  </cellXfs>
  <cellStyles count="1">
    <cellStyle name="Normal" xfId="0" builtinId="0"/>
  </cellStyles>
  <dxfs count="16">
    <dxf>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dd/mm/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66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4381472662161383"/>
          <c:y val="9.3402779981319101E-2"/>
          <c:w val="0.79519704621638942"/>
          <c:h val="0.86633839942019797"/>
        </c:manualLayout>
      </c:layout>
      <c:doughnutChart>
        <c:varyColors val="1"/>
        <c:ser>
          <c:idx val="0"/>
          <c:order val="0"/>
          <c:tx>
            <c:v>Total</c:v>
          </c:tx>
          <c:dPt>
            <c:idx val="0"/>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2426-4468-98A6-9C9A2B9E55E4}"/>
              </c:ext>
            </c:extLst>
          </c:dPt>
          <c:dPt>
            <c:idx val="1"/>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2426-4468-98A6-9C9A2B9E55E4}"/>
              </c:ext>
            </c:extLst>
          </c:dPt>
          <c:dPt>
            <c:idx val="2"/>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2426-4468-98A6-9C9A2B9E55E4}"/>
              </c:ext>
            </c:extLst>
          </c:dPt>
          <c:dPt>
            <c:idx val="3"/>
            <c:bubble3D val="0"/>
            <c:spPr>
              <a:solidFill>
                <a:schemeClr val="accent6">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2426-4468-98A6-9C9A2B9E55E4}"/>
              </c:ext>
            </c:extLst>
          </c:dPt>
          <c:dPt>
            <c:idx val="4"/>
            <c:bubble3D val="0"/>
            <c:spPr>
              <a:solidFill>
                <a:schemeClr val="accent5">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2426-4468-98A6-9C9A2B9E55E4}"/>
              </c:ext>
            </c:extLst>
          </c:dPt>
          <c:dPt>
            <c:idx val="5"/>
            <c:bubble3D val="0"/>
            <c:spPr>
              <a:solidFill>
                <a:schemeClr val="accent4">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2426-4468-98A6-9C9A2B9E55E4}"/>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Lit>
              <c:ptCount val="6"/>
              <c:pt idx="0">
                <c:v>Finance</c:v>
              </c:pt>
              <c:pt idx="1">
                <c:v>HR</c:v>
              </c:pt>
              <c:pt idx="2">
                <c:v>IT</c:v>
              </c:pt>
              <c:pt idx="3">
                <c:v>Marketing</c:v>
              </c:pt>
              <c:pt idx="4">
                <c:v>Operations</c:v>
              </c:pt>
              <c:pt idx="5">
                <c:v>Sales</c:v>
              </c:pt>
            </c:strLit>
          </c:cat>
          <c:val>
            <c:numLit>
              <c:formatCode>General</c:formatCode>
              <c:ptCount val="6"/>
              <c:pt idx="0">
                <c:v>624000</c:v>
              </c:pt>
              <c:pt idx="1">
                <c:v>453000</c:v>
              </c:pt>
              <c:pt idx="2">
                <c:v>799000</c:v>
              </c:pt>
              <c:pt idx="3">
                <c:v>443000</c:v>
              </c:pt>
              <c:pt idx="4">
                <c:v>458000</c:v>
              </c:pt>
              <c:pt idx="5">
                <c:v>538000</c:v>
              </c:pt>
            </c:numLit>
          </c:val>
          <c:extLst>
            <c:ext xmlns:c16="http://schemas.microsoft.com/office/drawing/2014/chart" uri="{C3380CC4-5D6E-409C-BE32-E72D297353CC}">
              <c16:uniqueId val="{00000000-BDC1-4E0B-8014-9E4FD2D4CAA5}"/>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layout>
        <c:manualLayout>
          <c:xMode val="edge"/>
          <c:yMode val="edge"/>
          <c:x val="0.10995644574343104"/>
          <c:y val="0.15421328276327781"/>
          <c:w val="0.23593523450797454"/>
          <c:h val="0.74186143247557723"/>
        </c:manualLayout>
      </c:layout>
      <c:overlay val="0"/>
      <c:spPr>
        <a:noFill/>
        <a:ln>
          <a:solidFill>
            <a:schemeClr val="bg1"/>
          </a:solid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6098456774379389E-2"/>
          <c:y val="0.10684260643379676"/>
          <c:w val="0.8667394820307085"/>
          <c:h val="0.77163549635278672"/>
        </c:manualLayout>
      </c:layout>
      <c:barChart>
        <c:barDir val="col"/>
        <c:grouping val="clustered"/>
        <c:varyColors val="0"/>
        <c:ser>
          <c:idx val="0"/>
          <c:order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Agency FB" panose="020B0503020202020204" pitchFamily="34" charset="0"/>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numRef>
              <c:f>Analysis!$A$18:$A$22</c:f>
              <c:numCache>
                <c:formatCode>General</c:formatCode>
                <c:ptCount val="5"/>
                <c:pt idx="0">
                  <c:v>5</c:v>
                </c:pt>
                <c:pt idx="1">
                  <c:v>4</c:v>
                </c:pt>
                <c:pt idx="2">
                  <c:v>3</c:v>
                </c:pt>
                <c:pt idx="3">
                  <c:v>2</c:v>
                </c:pt>
                <c:pt idx="4">
                  <c:v>1</c:v>
                </c:pt>
              </c:numCache>
            </c:numRef>
          </c:cat>
          <c:val>
            <c:numRef>
              <c:f>Analysis!$B$18:$B$22</c:f>
              <c:numCache>
                <c:formatCode>General</c:formatCode>
                <c:ptCount val="5"/>
                <c:pt idx="0">
                  <c:v>15</c:v>
                </c:pt>
                <c:pt idx="1">
                  <c:v>26</c:v>
                </c:pt>
                <c:pt idx="2">
                  <c:v>9</c:v>
                </c:pt>
                <c:pt idx="3">
                  <c:v>0</c:v>
                </c:pt>
                <c:pt idx="4">
                  <c:v>0</c:v>
                </c:pt>
              </c:numCache>
            </c:numRef>
          </c:val>
          <c:extLst>
            <c:ext xmlns:c16="http://schemas.microsoft.com/office/drawing/2014/chart" uri="{C3380CC4-5D6E-409C-BE32-E72D297353CC}">
              <c16:uniqueId val="{00000000-3540-4050-B6D5-4ECE73C533E9}"/>
            </c:ext>
          </c:extLst>
        </c:ser>
        <c:dLbls>
          <c:dLblPos val="inEnd"/>
          <c:showLegendKey val="0"/>
          <c:showVal val="1"/>
          <c:showCatName val="0"/>
          <c:showSerName val="0"/>
          <c:showPercent val="0"/>
          <c:showBubbleSize val="0"/>
        </c:dLbls>
        <c:gapWidth val="41"/>
        <c:axId val="92510959"/>
        <c:axId val="92504239"/>
      </c:barChart>
      <c:catAx>
        <c:axId val="92510959"/>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92504239"/>
        <c:crosses val="autoZero"/>
        <c:auto val="1"/>
        <c:lblAlgn val="ctr"/>
        <c:lblOffset val="100"/>
        <c:noMultiLvlLbl val="0"/>
      </c:catAx>
      <c:valAx>
        <c:axId val="92504239"/>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92510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c:spPr>
          </c:marker>
          <c:xVal>
            <c:numRef>
              <c:f>'Raw Data'!$H$6:$H$55</c:f>
              <c:numCache>
                <c:formatCode>General</c:formatCode>
                <c:ptCount val="50"/>
                <c:pt idx="0">
                  <c:v>5</c:v>
                </c:pt>
                <c:pt idx="1">
                  <c:v>7</c:v>
                </c:pt>
                <c:pt idx="2">
                  <c:v>3</c:v>
                </c:pt>
                <c:pt idx="3">
                  <c:v>9</c:v>
                </c:pt>
                <c:pt idx="4">
                  <c:v>4</c:v>
                </c:pt>
                <c:pt idx="5">
                  <c:v>12</c:v>
                </c:pt>
                <c:pt idx="6">
                  <c:v>15</c:v>
                </c:pt>
                <c:pt idx="7">
                  <c:v>10</c:v>
                </c:pt>
                <c:pt idx="8">
                  <c:v>2</c:v>
                </c:pt>
                <c:pt idx="9">
                  <c:v>5</c:v>
                </c:pt>
                <c:pt idx="10">
                  <c:v>1</c:v>
                </c:pt>
                <c:pt idx="11">
                  <c:v>16</c:v>
                </c:pt>
                <c:pt idx="12">
                  <c:v>3</c:v>
                </c:pt>
                <c:pt idx="13">
                  <c:v>13</c:v>
                </c:pt>
                <c:pt idx="14">
                  <c:v>6</c:v>
                </c:pt>
                <c:pt idx="15">
                  <c:v>5</c:v>
                </c:pt>
                <c:pt idx="16">
                  <c:v>4</c:v>
                </c:pt>
                <c:pt idx="17">
                  <c:v>2</c:v>
                </c:pt>
                <c:pt idx="18">
                  <c:v>9</c:v>
                </c:pt>
                <c:pt idx="19">
                  <c:v>18</c:v>
                </c:pt>
                <c:pt idx="20">
                  <c:v>12</c:v>
                </c:pt>
                <c:pt idx="21">
                  <c:v>8</c:v>
                </c:pt>
                <c:pt idx="22">
                  <c:v>19</c:v>
                </c:pt>
                <c:pt idx="23">
                  <c:v>10</c:v>
                </c:pt>
                <c:pt idx="24">
                  <c:v>2</c:v>
                </c:pt>
                <c:pt idx="25">
                  <c:v>6</c:v>
                </c:pt>
                <c:pt idx="26">
                  <c:v>4</c:v>
                </c:pt>
                <c:pt idx="27">
                  <c:v>9</c:v>
                </c:pt>
                <c:pt idx="28">
                  <c:v>7</c:v>
                </c:pt>
                <c:pt idx="29">
                  <c:v>5</c:v>
                </c:pt>
                <c:pt idx="30">
                  <c:v>1</c:v>
                </c:pt>
                <c:pt idx="31">
                  <c:v>4</c:v>
                </c:pt>
                <c:pt idx="32">
                  <c:v>15</c:v>
                </c:pt>
                <c:pt idx="33">
                  <c:v>6</c:v>
                </c:pt>
                <c:pt idx="34">
                  <c:v>9</c:v>
                </c:pt>
                <c:pt idx="35">
                  <c:v>20</c:v>
                </c:pt>
                <c:pt idx="36">
                  <c:v>11</c:v>
                </c:pt>
                <c:pt idx="37">
                  <c:v>5</c:v>
                </c:pt>
                <c:pt idx="38">
                  <c:v>8</c:v>
                </c:pt>
                <c:pt idx="39">
                  <c:v>10</c:v>
                </c:pt>
                <c:pt idx="40">
                  <c:v>18</c:v>
                </c:pt>
                <c:pt idx="41">
                  <c:v>8</c:v>
                </c:pt>
                <c:pt idx="42">
                  <c:v>5</c:v>
                </c:pt>
                <c:pt idx="43">
                  <c:v>3</c:v>
                </c:pt>
                <c:pt idx="44">
                  <c:v>11</c:v>
                </c:pt>
                <c:pt idx="45">
                  <c:v>2</c:v>
                </c:pt>
                <c:pt idx="46">
                  <c:v>14</c:v>
                </c:pt>
                <c:pt idx="47">
                  <c:v>7</c:v>
                </c:pt>
                <c:pt idx="48">
                  <c:v>16</c:v>
                </c:pt>
                <c:pt idx="49">
                  <c:v>3</c:v>
                </c:pt>
              </c:numCache>
            </c:numRef>
          </c:xVal>
          <c:yVal>
            <c:numRef>
              <c:f>'Raw Data'!$I$6:$I$55</c:f>
              <c:numCache>
                <c:formatCode>General</c:formatCode>
                <c:ptCount val="50"/>
                <c:pt idx="0">
                  <c:v>45000</c:v>
                </c:pt>
                <c:pt idx="1">
                  <c:v>52000</c:v>
                </c:pt>
                <c:pt idx="2">
                  <c:v>60000</c:v>
                </c:pt>
                <c:pt idx="3">
                  <c:v>58000</c:v>
                </c:pt>
                <c:pt idx="4">
                  <c:v>48000</c:v>
                </c:pt>
                <c:pt idx="5">
                  <c:v>85000</c:v>
                </c:pt>
                <c:pt idx="6">
                  <c:v>78000</c:v>
                </c:pt>
                <c:pt idx="7">
                  <c:v>72000</c:v>
                </c:pt>
                <c:pt idx="8">
                  <c:v>50000</c:v>
                </c:pt>
                <c:pt idx="9">
                  <c:v>65000</c:v>
                </c:pt>
                <c:pt idx="10">
                  <c:v>38000</c:v>
                </c:pt>
                <c:pt idx="11">
                  <c:v>90000</c:v>
                </c:pt>
                <c:pt idx="12">
                  <c:v>42000</c:v>
                </c:pt>
                <c:pt idx="13">
                  <c:v>75000</c:v>
                </c:pt>
                <c:pt idx="14">
                  <c:v>62000</c:v>
                </c:pt>
                <c:pt idx="15">
                  <c:v>54000</c:v>
                </c:pt>
                <c:pt idx="16">
                  <c:v>47000</c:v>
                </c:pt>
                <c:pt idx="17">
                  <c:v>39000</c:v>
                </c:pt>
                <c:pt idx="18">
                  <c:v>61000</c:v>
                </c:pt>
                <c:pt idx="19">
                  <c:v>95000</c:v>
                </c:pt>
                <c:pt idx="20">
                  <c:v>88000</c:v>
                </c:pt>
                <c:pt idx="21">
                  <c:v>72000</c:v>
                </c:pt>
                <c:pt idx="22">
                  <c:v>98000</c:v>
                </c:pt>
                <c:pt idx="23">
                  <c:v>68000</c:v>
                </c:pt>
                <c:pt idx="24">
                  <c:v>48000</c:v>
                </c:pt>
                <c:pt idx="25">
                  <c:v>56000</c:v>
                </c:pt>
                <c:pt idx="26">
                  <c:v>52000</c:v>
                </c:pt>
                <c:pt idx="27">
                  <c:v>67000</c:v>
                </c:pt>
                <c:pt idx="28">
                  <c:v>71000</c:v>
                </c:pt>
                <c:pt idx="29">
                  <c:v>82000</c:v>
                </c:pt>
                <c:pt idx="30">
                  <c:v>32000</c:v>
                </c:pt>
                <c:pt idx="31">
                  <c:v>51000</c:v>
                </c:pt>
                <c:pt idx="32">
                  <c:v>76000</c:v>
                </c:pt>
                <c:pt idx="33">
                  <c:v>59000</c:v>
                </c:pt>
                <c:pt idx="34">
                  <c:v>69000</c:v>
                </c:pt>
                <c:pt idx="35">
                  <c:v>105000</c:v>
                </c:pt>
                <c:pt idx="36">
                  <c:v>83000</c:v>
                </c:pt>
                <c:pt idx="37">
                  <c:v>58000</c:v>
                </c:pt>
                <c:pt idx="38">
                  <c:v>77000</c:v>
                </c:pt>
                <c:pt idx="39">
                  <c:v>74000</c:v>
                </c:pt>
                <c:pt idx="40">
                  <c:v>92000</c:v>
                </c:pt>
                <c:pt idx="41">
                  <c:v>69000</c:v>
                </c:pt>
                <c:pt idx="42">
                  <c:v>63000</c:v>
                </c:pt>
                <c:pt idx="43">
                  <c:v>52000</c:v>
                </c:pt>
                <c:pt idx="44">
                  <c:v>88000</c:v>
                </c:pt>
                <c:pt idx="45">
                  <c:v>46000</c:v>
                </c:pt>
                <c:pt idx="46">
                  <c:v>72000</c:v>
                </c:pt>
                <c:pt idx="47">
                  <c:v>65000</c:v>
                </c:pt>
                <c:pt idx="48">
                  <c:v>91000</c:v>
                </c:pt>
                <c:pt idx="49">
                  <c:v>75000</c:v>
                </c:pt>
              </c:numCache>
            </c:numRef>
          </c:yVal>
          <c:smooth val="0"/>
          <c:extLst>
            <c:ext xmlns:c16="http://schemas.microsoft.com/office/drawing/2014/chart" uri="{C3380CC4-5D6E-409C-BE32-E72D297353CC}">
              <c16:uniqueId val="{00000000-69B9-4535-80F3-01D150FBA083}"/>
            </c:ext>
          </c:extLst>
        </c:ser>
        <c:dLbls>
          <c:showLegendKey val="0"/>
          <c:showVal val="0"/>
          <c:showCatName val="0"/>
          <c:showSerName val="0"/>
          <c:showPercent val="0"/>
          <c:showBubbleSize val="0"/>
        </c:dLbls>
        <c:axId val="201946191"/>
        <c:axId val="201947151"/>
      </c:scatterChart>
      <c:valAx>
        <c:axId val="201946191"/>
        <c:scaling>
          <c:orientation val="minMax"/>
        </c:scaling>
        <c:delete val="0"/>
        <c:axPos val="b"/>
        <c:numFmt formatCode="General"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01947151"/>
        <c:crosses val="autoZero"/>
        <c:crossBetween val="midCat"/>
      </c:valAx>
      <c:valAx>
        <c:axId val="201947151"/>
        <c:scaling>
          <c:orientation val="minMax"/>
        </c:scaling>
        <c:delete val="0"/>
        <c:axPos val="l"/>
        <c:numFmt formatCode="General"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01946191"/>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Analysis!$B$9</c:f>
              <c:strCache>
                <c:ptCount val="1"/>
                <c:pt idx="0">
                  <c:v>Employee</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Agency FB" panose="020B0503020202020204" pitchFamily="34" charset="0"/>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Analysis!$A$10:$A$15</c:f>
              <c:strCache>
                <c:ptCount val="6"/>
                <c:pt idx="0">
                  <c:v>Finance</c:v>
                </c:pt>
                <c:pt idx="1">
                  <c:v>HR</c:v>
                </c:pt>
                <c:pt idx="2">
                  <c:v>IT</c:v>
                </c:pt>
                <c:pt idx="3">
                  <c:v>Marketing</c:v>
                </c:pt>
                <c:pt idx="4">
                  <c:v>Operations</c:v>
                </c:pt>
                <c:pt idx="5">
                  <c:v>Sales</c:v>
                </c:pt>
              </c:strCache>
            </c:strRef>
          </c:cat>
          <c:val>
            <c:numRef>
              <c:f>Analysis!$B$10:$B$15</c:f>
              <c:numCache>
                <c:formatCode>General</c:formatCode>
                <c:ptCount val="6"/>
                <c:pt idx="0">
                  <c:v>9</c:v>
                </c:pt>
                <c:pt idx="1">
                  <c:v>8</c:v>
                </c:pt>
                <c:pt idx="2">
                  <c:v>11</c:v>
                </c:pt>
                <c:pt idx="3">
                  <c:v>8</c:v>
                </c:pt>
                <c:pt idx="4">
                  <c:v>6</c:v>
                </c:pt>
                <c:pt idx="5">
                  <c:v>8</c:v>
                </c:pt>
              </c:numCache>
            </c:numRef>
          </c:val>
          <c:extLst>
            <c:ext xmlns:c16="http://schemas.microsoft.com/office/drawing/2014/chart" uri="{C3380CC4-5D6E-409C-BE32-E72D297353CC}">
              <c16:uniqueId val="{00000000-B188-486E-9B1C-6EBCB4EC738A}"/>
            </c:ext>
          </c:extLst>
        </c:ser>
        <c:dLbls>
          <c:dLblPos val="ctr"/>
          <c:showLegendKey val="0"/>
          <c:showVal val="1"/>
          <c:showCatName val="0"/>
          <c:showSerName val="0"/>
          <c:showPercent val="0"/>
          <c:showBubbleSize val="0"/>
        </c:dLbls>
        <c:gapWidth val="50"/>
        <c:overlap val="100"/>
        <c:axId val="246261487"/>
        <c:axId val="246261967"/>
      </c:barChart>
      <c:catAx>
        <c:axId val="246261487"/>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headEnd type="none" w="sm" len="sm"/>
            <a:tailEnd type="none" w="sm" len="sm"/>
          </a:ln>
          <a:effectLst/>
        </c:spPr>
        <c:txPr>
          <a:bodyPr rot="-60000000" spcFirstLastPara="1" vertOverflow="ellipsis" vert="horz" wrap="square" anchor="ctr" anchorCtr="1"/>
          <a:lstStyle/>
          <a:p>
            <a:pPr>
              <a:defRPr sz="900" b="0" i="0" u="none" strike="noStrike" kern="1200" baseline="0">
                <a:solidFill>
                  <a:schemeClr val="bg2">
                    <a:lumMod val="50000"/>
                  </a:schemeClr>
                </a:solidFill>
                <a:latin typeface="+mn-lt"/>
                <a:ea typeface="+mn-ea"/>
                <a:cs typeface="+mn-cs"/>
              </a:defRPr>
            </a:pPr>
            <a:endParaRPr lang="en-US"/>
          </a:p>
        </c:txPr>
        <c:crossAx val="246261967"/>
        <c:crosses val="autoZero"/>
        <c:auto val="1"/>
        <c:lblAlgn val="ctr"/>
        <c:lblOffset val="100"/>
        <c:noMultiLvlLbl val="0"/>
      </c:catAx>
      <c:valAx>
        <c:axId val="24626196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62614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plotArea>
      <cx:plotAreaRegion>
        <cx:series layoutId="sunburst" uniqueId="{1E56E3C6-B35E-41A7-8225-0611D55D9414}">
          <cx:spPr>
            <a:ln>
              <a:noFill/>
            </a:ln>
          </cx:spPr>
          <cx:dataId val="0"/>
        </cx:series>
      </cx:plotAreaRegion>
    </cx:plotArea>
  </cx:chart>
  <cx:spPr>
    <a:noFill/>
    <a:ln>
      <a:no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size">
        <cx:f>_xlchart.v1.3</cx:f>
      </cx:numDim>
    </cx:data>
  </cx:chartData>
  <cx:chart>
    <cx:plotArea>
      <cx:plotAreaRegion>
        <cx:plotSurface>
          <cx:spPr>
            <a:noFill/>
          </cx:spPr>
        </cx:plotSurface>
        <cx:series layoutId="sunburst" uniqueId="{22D18EA0-DB87-45CD-94DE-748205640EDD}">
          <cx:spPr>
            <a:ln>
              <a:noFill/>
            </a:ln>
          </cx:spPr>
          <cx:dataId val="0"/>
        </cx:series>
      </cx:plotAreaRegion>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81">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4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9525" cap="rnd">
        <a:solidFill>
          <a:schemeClr val="phClr"/>
        </a:solidFill>
        <a:round/>
      </a:ln>
    </cs:spPr>
  </cs:dataPointLine>
  <cs:dataPointMarker>
    <cs:lnRef idx="0">
      <cs:styleClr val="auto"/>
    </cs:lnRef>
    <cs:fillRef idx="3">
      <cs:styleClr val="auto"/>
    </cs:fillRef>
    <cs:effectRef idx="2"/>
    <cs:fontRef idx="minor">
      <a:schemeClr val="tx2"/>
    </cs:fontRef>
    <cs:spPr>
      <a:ln w="9525">
        <a:solidFill>
          <a:schemeClr val="phClr"/>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9525" cap="rnd">
        <a:solidFill>
          <a:schemeClr val="phClr"/>
        </a:solidFill>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spPr>
      <a:ln>
        <a:solidFill>
          <a:schemeClr val="tx2">
            <a:lumMod val="40000"/>
            <a:lumOff val="60000"/>
          </a:schemeClr>
        </a:solidFill>
      </a:ln>
    </cs:spPr>
    <cs:defRPr sz="900" kern="1200"/>
  </cs:valueAxis>
  <cs:wall>
    <cs:lnRef idx="0"/>
    <cs:fillRef idx="0"/>
    <cs:effectRef idx="0"/>
    <cs:fontRef idx="minor">
      <a:schemeClr val="tx2"/>
    </cs:fontRef>
  </cs:wall>
</cs:chartStyle>
</file>

<file path=xl/charts/style5.xml><?xml version="1.0" encoding="utf-8"?>
<cs:chartStyle xmlns:cs="http://schemas.microsoft.com/office/drawing/2012/chartStyle" xmlns:a="http://schemas.openxmlformats.org/drawingml/2006/main" id="383">
  <cs:axisTitle>
    <cs:lnRef idx="0"/>
    <cs:fillRef idx="0"/>
    <cs:effectRef idx="0"/>
    <cs:fontRef idx="minor">
      <a:schemeClr val="dk1">
        <a:lumMod val="75000"/>
        <a:lumOff val="25000"/>
      </a:schemeClr>
    </cs:fontRef>
    <cs:defRPr sz="9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cs:chartArea>
  <cs:dataLabel>
    <cs:lnRef idx="0"/>
    <cs:fillRef idx="0"/>
    <cs:effectRef idx="0"/>
    <cs:fontRef idx="minor">
      <a:schemeClr val="lt1"/>
    </cs:fontRef>
    <cs:defRPr sz="900"/>
  </cs:dataLabel>
  <cs:dataLabelCallout>
    <cs:lnRef idx="0"/>
    <cs:fillRef idx="0"/>
    <cs:effectRef idx="0"/>
    <cs:fontRef idx="minor">
      <a:schemeClr val="lt1"/>
    </cs:fontRef>
    <cs:spPr>
      <a:solidFill>
        <a:schemeClr val="dk1">
          <a:lumMod val="65000"/>
          <a:lumOff val="35000"/>
          <a:alpha val="75000"/>
        </a:schemeClr>
      </a:solidFill>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ln>
        <a:solidFill>
          <a:schemeClr val="lt1"/>
        </a:solidFill>
      </a:ln>
    </cs:spPr>
  </cs:dataPoint>
  <cs:dataPoint3D>
    <cs:lnRef idx="0"/>
    <cs:fillRef idx="0">
      <cs:styleClr val="auto"/>
    </cs:fillRef>
    <cs:effectRef idx="0"/>
    <cs:fontRef idx="minor">
      <a:schemeClr val="dk1"/>
    </cs:fontRef>
    <cs:spPr>
      <a:solidFill>
        <a:schemeClr val="ph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75000"/>
            <a:lumOff val="25000"/>
          </a:schemeClr>
        </a:solidFill>
      </a:ln>
    </cs:spPr>
    <cs:defRPr sz="9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lumOff val="10000"/>
              </a:schemeClr>
            </a:gs>
            <a:gs pos="0">
              <a:schemeClr val="lt1">
                <a:lumMod val="75000"/>
                <a:alpha val="36000"/>
                <a:lumOff val="10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seriesAxis>
  <cs:seriesLine>
    <cs:lnRef idx="0"/>
    <cs:fillRef idx="0"/>
    <cs:effectRef idx="0"/>
    <cs:fontRef idx="minor">
      <a:schemeClr val="dk1"/>
    </cs:fontRef>
    <cs:spPr>
      <a:ln w="9525" cap="flat">
        <a:solidFill>
          <a:schemeClr val="bg1">
            <a:lumMod val="50000"/>
          </a:schemeClr>
        </a:solidFill>
        <a:round/>
      </a:ln>
    </cs:spPr>
  </cs:seriesLine>
  <cs:title>
    <cs:lnRef idx="0"/>
    <cs:fillRef idx="0"/>
    <cs:effectRef idx="0"/>
    <cs:fontRef idx="minor">
      <a:schemeClr val="dk1">
        <a:lumMod val="75000"/>
        <a:lumOff val="25000"/>
      </a:schemeClr>
    </cs:fontRef>
    <cs:defRPr sz="1800" b="1"/>
  </cs:title>
  <cs:trendline>
    <cs:lnRef idx="0"/>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75000"/>
        <a:lumOff val="25000"/>
      </a:schemeClr>
    </cs:fontRef>
    <cs:defRPr sz="9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defRPr sz="9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0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headEnd type="none" w="sm" len="sm"/>
        <a:tailEnd type="none" w="sm" len="sm"/>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fillRef idx="0">
      <cs:styleClr val="auto"/>
    </cs:fillRef>
    <cs:effectRef idx="0"/>
    <cs:fontRef idx="minor">
      <a:schemeClr val="tx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a:gsLst>
          <a:gs pos="0">
            <a:schemeClr val="phClr"/>
          </a:gs>
          <a:gs pos="46000">
            <a:schemeClr val="phClr"/>
          </a:gs>
          <a:gs pos="100000">
            <a:schemeClr val="phClr">
              <a:lumMod val="20000"/>
              <a:lumOff val="80000"/>
              <a:alpha val="0"/>
            </a:schemeClr>
          </a:gs>
        </a:gsLst>
        <a:path path="circle">
          <a:fillToRect l="50000" t="-80000" r="50000" b="180000"/>
        </a:path>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ajor>
  <cs:gridlineMin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2.xml.rels><?xml version="1.0" encoding="UTF-8" standalone="yes"?>
<Relationships xmlns="http://schemas.openxmlformats.org/package/2006/relationships"><Relationship Id="rId8" Type="http://schemas.openxmlformats.org/officeDocument/2006/relationships/chart" Target="../charts/chart4.xml"/><Relationship Id="rId3" Type="http://schemas.openxmlformats.org/officeDocument/2006/relationships/image" Target="../media/image1.png"/><Relationship Id="rId7" Type="http://schemas.microsoft.com/office/2014/relationships/chartEx" Target="../charts/chartEx2.xml"/><Relationship Id="rId2" Type="http://schemas.openxmlformats.org/officeDocument/2006/relationships/chart" Target="../charts/chart1.xml"/><Relationship Id="rId1" Type="http://schemas.microsoft.com/office/2014/relationships/chartEx" Target="../charts/chartEx1.xml"/><Relationship Id="rId6" Type="http://schemas.openxmlformats.org/officeDocument/2006/relationships/chart" Target="../charts/chart3.xml"/><Relationship Id="rId5" Type="http://schemas.openxmlformats.org/officeDocument/2006/relationships/chart" Target="../charts/chart2.xml"/><Relationship Id="rId4" Type="http://schemas.openxmlformats.org/officeDocument/2006/relationships/image" Target="../media/image2.svg"/></Relationships>
</file>

<file path=xl/drawings/drawing1.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11</xdr:col>
      <xdr:colOff>349431</xdr:colOff>
      <xdr:row>3</xdr:row>
      <xdr:rowOff>137160</xdr:rowOff>
    </xdr:to>
    <mc:AlternateContent xmlns:mc="http://schemas.openxmlformats.org/markup-compatibility/2006" xmlns:sle15="http://schemas.microsoft.com/office/drawing/2012/slicer">
      <mc:Choice Requires="sle15">
        <xdr:graphicFrame macro="">
          <xdr:nvGraphicFramePr>
            <xdr:cNvPr id="4" name="Department">
              <a:extLst>
                <a:ext uri="{FF2B5EF4-FFF2-40B4-BE49-F238E27FC236}">
                  <a16:creationId xmlns:a16="http://schemas.microsoft.com/office/drawing/2014/main" id="{5DF0C38A-0F34-6377-D592-D23B86651CD7}"/>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0" y="0"/>
              <a:ext cx="11521440" cy="68580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5</xdr:col>
      <xdr:colOff>502499</xdr:colOff>
      <xdr:row>13</xdr:row>
      <xdr:rowOff>123494</xdr:rowOff>
    </xdr:from>
    <xdr:to>
      <xdr:col>7</xdr:col>
      <xdr:colOff>738554</xdr:colOff>
      <xdr:row>23</xdr:row>
      <xdr:rowOff>75590</xdr:rowOff>
    </xdr:to>
    <mc:AlternateContent xmlns:mc="http://schemas.openxmlformats.org/markup-compatibility/2006">
      <mc:Choice xmlns:cx1="http://schemas.microsoft.com/office/drawing/2015/9/8/chartex" Requires="cx1">
        <xdr:graphicFrame macro="">
          <xdr:nvGraphicFramePr>
            <xdr:cNvPr id="28" name="Chart 27">
              <a:extLst>
                <a:ext uri="{FF2B5EF4-FFF2-40B4-BE49-F238E27FC236}">
                  <a16:creationId xmlns:a16="http://schemas.microsoft.com/office/drawing/2014/main" id="{426F9E98-371B-4871-B4D4-E68A74602034}"/>
                </a:ext>
              </a:extLst>
            </xdr:cNvPr>
            <xdr:cNvGraphicFramePr>
              <a:graphicFrameLocks/>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3550499" y="2500934"/>
              <a:ext cx="1828635" cy="1780896"/>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0</xdr:col>
      <xdr:colOff>169944</xdr:colOff>
      <xdr:row>13</xdr:row>
      <xdr:rowOff>138572</xdr:rowOff>
    </xdr:from>
    <xdr:to>
      <xdr:col>5</xdr:col>
      <xdr:colOff>167640</xdr:colOff>
      <xdr:row>23</xdr:row>
      <xdr:rowOff>43093</xdr:rowOff>
    </xdr:to>
    <xdr:graphicFrame macro="">
      <xdr:nvGraphicFramePr>
        <xdr:cNvPr id="41" name="Chart 40">
          <a:extLst>
            <a:ext uri="{FF2B5EF4-FFF2-40B4-BE49-F238E27FC236}">
              <a16:creationId xmlns:a16="http://schemas.microsoft.com/office/drawing/2014/main" id="{7E1C526E-3A58-2531-AA78-A25D8E49A9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372484</xdr:colOff>
      <xdr:row>0</xdr:row>
      <xdr:rowOff>34514</xdr:rowOff>
    </xdr:from>
    <xdr:to>
      <xdr:col>7</xdr:col>
      <xdr:colOff>38100</xdr:colOff>
      <xdr:row>3</xdr:row>
      <xdr:rowOff>115197</xdr:rowOff>
    </xdr:to>
    <xdr:sp macro="" textlink="">
      <xdr:nvSpPr>
        <xdr:cNvPr id="7" name="TextBox 6">
          <a:extLst>
            <a:ext uri="{FF2B5EF4-FFF2-40B4-BE49-F238E27FC236}">
              <a16:creationId xmlns:a16="http://schemas.microsoft.com/office/drawing/2014/main" id="{4144CAA6-5836-3486-AC47-28CCF32A6125}"/>
            </a:ext>
          </a:extLst>
        </xdr:cNvPr>
        <xdr:cNvSpPr txBox="1"/>
      </xdr:nvSpPr>
      <xdr:spPr>
        <a:xfrm>
          <a:off x="372484" y="34514"/>
          <a:ext cx="4306196" cy="6293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a:solidFill>
                <a:schemeClr val="bg1"/>
              </a:solidFill>
              <a:effectLst/>
              <a:latin typeface="Agency FB" panose="020B0503020202020204" pitchFamily="34" charset="0"/>
              <a:cs typeface="Arial" panose="020B0604020202020204" pitchFamily="34" charset="0"/>
            </a:rPr>
            <a:t>Employee Analytics Dashboard</a:t>
          </a:r>
        </a:p>
      </xdr:txBody>
    </xdr:sp>
    <xdr:clientData/>
  </xdr:twoCellAnchor>
  <xdr:twoCellAnchor>
    <xdr:from>
      <xdr:col>0</xdr:col>
      <xdr:colOff>347492</xdr:colOff>
      <xdr:row>4</xdr:row>
      <xdr:rowOff>11430</xdr:rowOff>
    </xdr:from>
    <xdr:to>
      <xdr:col>3</xdr:col>
      <xdr:colOff>469412</xdr:colOff>
      <xdr:row>11</xdr:row>
      <xdr:rowOff>19050</xdr:rowOff>
    </xdr:to>
    <xdr:sp macro="" textlink="">
      <xdr:nvSpPr>
        <xdr:cNvPr id="8" name="Rectangle: Rounded Corners 7">
          <a:extLst>
            <a:ext uri="{FF2B5EF4-FFF2-40B4-BE49-F238E27FC236}">
              <a16:creationId xmlns:a16="http://schemas.microsoft.com/office/drawing/2014/main" id="{D2707C05-4C8D-1369-08C6-51398875F0CD}"/>
            </a:ext>
          </a:extLst>
        </xdr:cNvPr>
        <xdr:cNvSpPr/>
      </xdr:nvSpPr>
      <xdr:spPr>
        <a:xfrm>
          <a:off x="347492" y="728606"/>
          <a:ext cx="1950720" cy="1262679"/>
        </a:xfrm>
        <a:prstGeom prst="roundRect">
          <a:avLst/>
        </a:prstGeom>
        <a:solidFill>
          <a:schemeClr val="bg1"/>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387213</xdr:colOff>
      <xdr:row>6</xdr:row>
      <xdr:rowOff>20329</xdr:rowOff>
    </xdr:from>
    <xdr:to>
      <xdr:col>3</xdr:col>
      <xdr:colOff>429692</xdr:colOff>
      <xdr:row>9</xdr:row>
      <xdr:rowOff>170329</xdr:rowOff>
    </xdr:to>
    <xdr:sp macro="" textlink="">
      <xdr:nvSpPr>
        <xdr:cNvPr id="21" name="TextBox 20">
          <a:extLst>
            <a:ext uri="{FF2B5EF4-FFF2-40B4-BE49-F238E27FC236}">
              <a16:creationId xmlns:a16="http://schemas.microsoft.com/office/drawing/2014/main" id="{BAAAEDA9-96A2-4D3D-A3A3-EC89735DF1B0}"/>
            </a:ext>
          </a:extLst>
        </xdr:cNvPr>
        <xdr:cNvSpPr txBox="1"/>
      </xdr:nvSpPr>
      <xdr:spPr>
        <a:xfrm>
          <a:off x="387213" y="1096094"/>
          <a:ext cx="1871279" cy="6878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600" b="1">
              <a:solidFill>
                <a:schemeClr val="tx1"/>
              </a:solidFill>
              <a:effectLst/>
              <a:latin typeface="Agency FB" panose="020B0503020202020204" pitchFamily="34" charset="0"/>
              <a:cs typeface="Arial" panose="020B0604020202020204" pitchFamily="34" charset="0"/>
            </a:rPr>
            <a:t>Total Headcount: </a:t>
          </a:r>
        </a:p>
        <a:p>
          <a:pPr marL="0" marR="0" lvl="0" indent="0" algn="ctr" defTabSz="914400" eaLnBrk="1" fontAlgn="auto" latinLnBrk="0" hangingPunct="1">
            <a:lnSpc>
              <a:spcPct val="100000"/>
            </a:lnSpc>
            <a:spcBef>
              <a:spcPts val="0"/>
            </a:spcBef>
            <a:spcAft>
              <a:spcPts val="0"/>
            </a:spcAft>
            <a:buClrTx/>
            <a:buSzTx/>
            <a:buFontTx/>
            <a:buNone/>
            <a:tabLst/>
            <a:defRPr/>
          </a:pPr>
          <a:r>
            <a:rPr lang="en-IN" sz="2000" b="1" i="0">
              <a:solidFill>
                <a:schemeClr val="dk1"/>
              </a:solidFill>
              <a:effectLst/>
              <a:latin typeface="Agency FB" panose="020B0503020202020204" pitchFamily="34" charset="0"/>
              <a:ea typeface="+mn-ea"/>
              <a:cs typeface="+mn-cs"/>
            </a:rPr>
            <a:t>50</a:t>
          </a:r>
          <a:r>
            <a:rPr lang="en-IN" sz="2000" b="1">
              <a:solidFill>
                <a:schemeClr val="dk1"/>
              </a:solidFill>
              <a:effectLst/>
              <a:latin typeface="Agency FB" panose="020B0503020202020204" pitchFamily="34" charset="0"/>
              <a:ea typeface="+mn-ea"/>
              <a:cs typeface="+mn-cs"/>
            </a:rPr>
            <a:t> </a:t>
          </a:r>
          <a:endParaRPr lang="en-IN" sz="2800">
            <a:effectLst/>
            <a:latin typeface="Agency FB" panose="020B0503020202020204" pitchFamily="34" charset="0"/>
          </a:endParaRPr>
        </a:p>
      </xdr:txBody>
    </xdr:sp>
    <xdr:clientData/>
  </xdr:twoCellAnchor>
  <xdr:twoCellAnchor editAs="oneCell">
    <xdr:from>
      <xdr:col>0</xdr:col>
      <xdr:colOff>91440</xdr:colOff>
      <xdr:row>0</xdr:row>
      <xdr:rowOff>152400</xdr:rowOff>
    </xdr:from>
    <xdr:to>
      <xdr:col>0</xdr:col>
      <xdr:colOff>487680</xdr:colOff>
      <xdr:row>3</xdr:row>
      <xdr:rowOff>0</xdr:rowOff>
    </xdr:to>
    <xdr:pic>
      <xdr:nvPicPr>
        <xdr:cNvPr id="24" name="Graphic 23" descr="Research with solid fill">
          <a:extLst>
            <a:ext uri="{FF2B5EF4-FFF2-40B4-BE49-F238E27FC236}">
              <a16:creationId xmlns:a16="http://schemas.microsoft.com/office/drawing/2014/main" id="{9FFD8321-10FE-B1A9-0B7E-38540C84298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1440" y="152400"/>
          <a:ext cx="396240" cy="396240"/>
        </a:xfrm>
        <a:prstGeom prst="rect">
          <a:avLst/>
        </a:prstGeom>
      </xdr:spPr>
    </xdr:pic>
    <xdr:clientData/>
  </xdr:twoCellAnchor>
  <xdr:twoCellAnchor>
    <xdr:from>
      <xdr:col>0</xdr:col>
      <xdr:colOff>540871</xdr:colOff>
      <xdr:row>11</xdr:row>
      <xdr:rowOff>180490</xdr:rowOff>
    </xdr:from>
    <xdr:to>
      <xdr:col>3</xdr:col>
      <xdr:colOff>406401</xdr:colOff>
      <xdr:row>13</xdr:row>
      <xdr:rowOff>180490</xdr:rowOff>
    </xdr:to>
    <xdr:sp macro="" textlink="">
      <xdr:nvSpPr>
        <xdr:cNvPr id="29" name="TextBox 28">
          <a:extLst>
            <a:ext uri="{FF2B5EF4-FFF2-40B4-BE49-F238E27FC236}">
              <a16:creationId xmlns:a16="http://schemas.microsoft.com/office/drawing/2014/main" id="{DCDFDDB8-E76A-D996-0541-BDD492C9C691}"/>
            </a:ext>
          </a:extLst>
        </xdr:cNvPr>
        <xdr:cNvSpPr txBox="1"/>
      </xdr:nvSpPr>
      <xdr:spPr>
        <a:xfrm>
          <a:off x="540871" y="2192170"/>
          <a:ext cx="1694330" cy="3657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a:solidFill>
                <a:schemeClr val="bg1"/>
              </a:solidFill>
              <a:latin typeface="Agency FB" panose="020B0503020202020204" pitchFamily="34" charset="0"/>
            </a:rPr>
            <a:t>Salary Destribution:</a:t>
          </a:r>
        </a:p>
      </xdr:txBody>
    </xdr:sp>
    <xdr:clientData/>
  </xdr:twoCellAnchor>
  <xdr:twoCellAnchor>
    <xdr:from>
      <xdr:col>5</xdr:col>
      <xdr:colOff>290009</xdr:colOff>
      <xdr:row>11</xdr:row>
      <xdr:rowOff>116542</xdr:rowOff>
    </xdr:from>
    <xdr:to>
      <xdr:col>7</xdr:col>
      <xdr:colOff>384139</xdr:colOff>
      <xdr:row>13</xdr:row>
      <xdr:rowOff>116542</xdr:rowOff>
    </xdr:to>
    <xdr:sp macro="" textlink="">
      <xdr:nvSpPr>
        <xdr:cNvPr id="30" name="TextBox 29">
          <a:extLst>
            <a:ext uri="{FF2B5EF4-FFF2-40B4-BE49-F238E27FC236}">
              <a16:creationId xmlns:a16="http://schemas.microsoft.com/office/drawing/2014/main" id="{E0DC156A-C4F6-49CF-9BAF-2E0ED756AFBC}"/>
            </a:ext>
          </a:extLst>
        </xdr:cNvPr>
        <xdr:cNvSpPr txBox="1"/>
      </xdr:nvSpPr>
      <xdr:spPr>
        <a:xfrm>
          <a:off x="3338009" y="2128222"/>
          <a:ext cx="1686710" cy="3657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800">
              <a:solidFill>
                <a:schemeClr val="bg1"/>
              </a:solidFill>
              <a:latin typeface="Agency FB" panose="020B0503020202020204" pitchFamily="34" charset="0"/>
            </a:rPr>
            <a:t>Active</a:t>
          </a:r>
          <a:r>
            <a:rPr lang="en-IN" sz="1800" baseline="0">
              <a:solidFill>
                <a:schemeClr val="bg1"/>
              </a:solidFill>
              <a:latin typeface="Agency FB" panose="020B0503020202020204" pitchFamily="34" charset="0"/>
            </a:rPr>
            <a:t> Vs Inactive:</a:t>
          </a:r>
          <a:endParaRPr lang="en-IN" sz="1800">
            <a:solidFill>
              <a:schemeClr val="bg1"/>
            </a:solidFill>
            <a:latin typeface="Agency FB" panose="020B0503020202020204" pitchFamily="34" charset="0"/>
          </a:endParaRPr>
        </a:p>
      </xdr:txBody>
    </xdr:sp>
    <xdr:clientData/>
  </xdr:twoCellAnchor>
  <xdr:twoCellAnchor>
    <xdr:from>
      <xdr:col>3</xdr:col>
      <xdr:colOff>520848</xdr:colOff>
      <xdr:row>4</xdr:row>
      <xdr:rowOff>11430</xdr:rowOff>
    </xdr:from>
    <xdr:to>
      <xdr:col>6</xdr:col>
      <xdr:colOff>642768</xdr:colOff>
      <xdr:row>11</xdr:row>
      <xdr:rowOff>19050</xdr:rowOff>
    </xdr:to>
    <xdr:sp macro="" textlink="">
      <xdr:nvSpPr>
        <xdr:cNvPr id="31" name="Rectangle: Rounded Corners 30">
          <a:extLst>
            <a:ext uri="{FF2B5EF4-FFF2-40B4-BE49-F238E27FC236}">
              <a16:creationId xmlns:a16="http://schemas.microsoft.com/office/drawing/2014/main" id="{31E2F0CE-A562-4072-93C8-A8BB5485A6FC}"/>
            </a:ext>
          </a:extLst>
        </xdr:cNvPr>
        <xdr:cNvSpPr/>
      </xdr:nvSpPr>
      <xdr:spPr>
        <a:xfrm>
          <a:off x="2349648" y="728606"/>
          <a:ext cx="1950720" cy="1262679"/>
        </a:xfrm>
        <a:prstGeom prst="roundRect">
          <a:avLst/>
        </a:prstGeom>
        <a:solidFill>
          <a:schemeClr val="bg1"/>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78888</xdr:colOff>
      <xdr:row>5</xdr:row>
      <xdr:rowOff>176765</xdr:rowOff>
    </xdr:from>
    <xdr:to>
      <xdr:col>6</xdr:col>
      <xdr:colOff>475128</xdr:colOff>
      <xdr:row>9</xdr:row>
      <xdr:rowOff>146285</xdr:rowOff>
    </xdr:to>
    <xdr:sp macro="" textlink="">
      <xdr:nvSpPr>
        <xdr:cNvPr id="33" name="TextBox 32">
          <a:extLst>
            <a:ext uri="{FF2B5EF4-FFF2-40B4-BE49-F238E27FC236}">
              <a16:creationId xmlns:a16="http://schemas.microsoft.com/office/drawing/2014/main" id="{001462CF-34F7-4A14-B1ED-6037B001A2EA}"/>
            </a:ext>
          </a:extLst>
        </xdr:cNvPr>
        <xdr:cNvSpPr txBox="1"/>
      </xdr:nvSpPr>
      <xdr:spPr>
        <a:xfrm>
          <a:off x="2517288" y="1073236"/>
          <a:ext cx="1615440" cy="6866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600" b="1">
              <a:solidFill>
                <a:schemeClr val="tx1"/>
              </a:solidFill>
              <a:effectLst/>
              <a:latin typeface="Agency FB" panose="020B0503020202020204" pitchFamily="34" charset="0"/>
              <a:cs typeface="Arial" panose="020B0604020202020204" pitchFamily="34" charset="0"/>
            </a:rPr>
            <a:t>Average Salary: </a:t>
          </a:r>
        </a:p>
        <a:p>
          <a:pPr marL="0" marR="0" lvl="0" indent="0" algn="ctr" defTabSz="914400" eaLnBrk="1" fontAlgn="auto" latinLnBrk="0" hangingPunct="1">
            <a:lnSpc>
              <a:spcPct val="100000"/>
            </a:lnSpc>
            <a:spcBef>
              <a:spcPts val="0"/>
            </a:spcBef>
            <a:spcAft>
              <a:spcPts val="0"/>
            </a:spcAft>
            <a:buClrTx/>
            <a:buSzTx/>
            <a:buFontTx/>
            <a:buNone/>
            <a:tabLst/>
            <a:defRPr/>
          </a:pPr>
          <a:r>
            <a:rPr lang="en-IN" sz="2000" b="1" i="0">
              <a:solidFill>
                <a:schemeClr val="dk1"/>
              </a:solidFill>
              <a:effectLst/>
              <a:latin typeface="Agency FB" panose="020B0503020202020204" pitchFamily="34" charset="0"/>
              <a:ea typeface="+mn-ea"/>
              <a:cs typeface="+mn-cs"/>
            </a:rPr>
            <a:t>₹ 66300</a:t>
          </a:r>
          <a:r>
            <a:rPr lang="en-IN" sz="2000" b="1">
              <a:solidFill>
                <a:schemeClr val="dk1"/>
              </a:solidFill>
              <a:effectLst/>
              <a:latin typeface="Agency FB" panose="020B0503020202020204" pitchFamily="34" charset="0"/>
              <a:ea typeface="+mn-ea"/>
              <a:cs typeface="+mn-cs"/>
            </a:rPr>
            <a:t> </a:t>
          </a:r>
          <a:endParaRPr lang="en-IN" sz="2000">
            <a:effectLst/>
            <a:latin typeface="Agency FB" panose="020B0503020202020204" pitchFamily="34" charset="0"/>
          </a:endParaRPr>
        </a:p>
      </xdr:txBody>
    </xdr:sp>
    <xdr:clientData/>
  </xdr:twoCellAnchor>
  <xdr:twoCellAnchor>
    <xdr:from>
      <xdr:col>6</xdr:col>
      <xdr:colOff>696108</xdr:colOff>
      <xdr:row>4</xdr:row>
      <xdr:rowOff>11430</xdr:rowOff>
    </xdr:from>
    <xdr:to>
      <xdr:col>9</xdr:col>
      <xdr:colOff>147468</xdr:colOff>
      <xdr:row>11</xdr:row>
      <xdr:rowOff>19050</xdr:rowOff>
    </xdr:to>
    <xdr:sp macro="" textlink="">
      <xdr:nvSpPr>
        <xdr:cNvPr id="34" name="Rectangle: Rounded Corners 33">
          <a:extLst>
            <a:ext uri="{FF2B5EF4-FFF2-40B4-BE49-F238E27FC236}">
              <a16:creationId xmlns:a16="http://schemas.microsoft.com/office/drawing/2014/main" id="{8DE4BB7A-A97A-4A1D-ADAC-5FE1C7FAE17C}"/>
            </a:ext>
          </a:extLst>
        </xdr:cNvPr>
        <xdr:cNvSpPr/>
      </xdr:nvSpPr>
      <xdr:spPr>
        <a:xfrm>
          <a:off x="4353708" y="728606"/>
          <a:ext cx="1952513" cy="1262679"/>
        </a:xfrm>
        <a:prstGeom prst="roundRect">
          <a:avLst/>
        </a:prstGeom>
        <a:solidFill>
          <a:schemeClr val="bg1"/>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818028</xdr:colOff>
      <xdr:row>5</xdr:row>
      <xdr:rowOff>174258</xdr:rowOff>
    </xdr:from>
    <xdr:to>
      <xdr:col>9</xdr:col>
      <xdr:colOff>89230</xdr:colOff>
      <xdr:row>9</xdr:row>
      <xdr:rowOff>148792</xdr:rowOff>
    </xdr:to>
    <xdr:sp macro="" textlink="">
      <xdr:nvSpPr>
        <xdr:cNvPr id="35" name="TextBox 34">
          <a:extLst>
            <a:ext uri="{FF2B5EF4-FFF2-40B4-BE49-F238E27FC236}">
              <a16:creationId xmlns:a16="http://schemas.microsoft.com/office/drawing/2014/main" id="{43947806-D6F0-4796-B700-56A8E92A68FB}"/>
            </a:ext>
          </a:extLst>
        </xdr:cNvPr>
        <xdr:cNvSpPr txBox="1"/>
      </xdr:nvSpPr>
      <xdr:spPr>
        <a:xfrm>
          <a:off x="4475628" y="1070729"/>
          <a:ext cx="1772355" cy="6917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600" b="1">
              <a:solidFill>
                <a:schemeClr val="tx1"/>
              </a:solidFill>
              <a:effectLst/>
              <a:latin typeface="Agency FB" panose="020B0503020202020204" pitchFamily="34" charset="0"/>
              <a:cs typeface="Arial" panose="020B0604020202020204" pitchFamily="34" charset="0"/>
            </a:rPr>
            <a:t>Average Performance: </a:t>
          </a:r>
        </a:p>
        <a:p>
          <a:pPr marL="0" marR="0" lvl="0" indent="0" algn="ctr" defTabSz="914400" eaLnBrk="1" fontAlgn="auto" latinLnBrk="0" hangingPunct="1">
            <a:lnSpc>
              <a:spcPct val="100000"/>
            </a:lnSpc>
            <a:spcBef>
              <a:spcPts val="0"/>
            </a:spcBef>
            <a:spcAft>
              <a:spcPts val="0"/>
            </a:spcAft>
            <a:buClrTx/>
            <a:buSzTx/>
            <a:buFontTx/>
            <a:buNone/>
            <a:tabLst/>
            <a:defRPr/>
          </a:pPr>
          <a:r>
            <a:rPr lang="en-IN" sz="2000" b="1" i="0">
              <a:solidFill>
                <a:schemeClr val="dk1"/>
              </a:solidFill>
              <a:effectLst/>
              <a:latin typeface="Agency FB" panose="020B0503020202020204" pitchFamily="34" charset="0"/>
              <a:ea typeface="+mn-ea"/>
              <a:cs typeface="+mn-cs"/>
            </a:rPr>
            <a:t>4.1/5</a:t>
          </a:r>
          <a:endParaRPr lang="en-IN" sz="2800">
            <a:effectLst/>
            <a:latin typeface="Agency FB" panose="020B0503020202020204" pitchFamily="34" charset="0"/>
          </a:endParaRPr>
        </a:p>
      </xdr:txBody>
    </xdr:sp>
    <xdr:clientData/>
  </xdr:twoCellAnchor>
  <xdr:twoCellAnchor>
    <xdr:from>
      <xdr:col>7</xdr:col>
      <xdr:colOff>450573</xdr:colOff>
      <xdr:row>14</xdr:row>
      <xdr:rowOff>33131</xdr:rowOff>
    </xdr:from>
    <xdr:to>
      <xdr:col>9</xdr:col>
      <xdr:colOff>76200</xdr:colOff>
      <xdr:row>15</xdr:row>
      <xdr:rowOff>102994</xdr:rowOff>
    </xdr:to>
    <xdr:sp macro="" textlink="">
      <xdr:nvSpPr>
        <xdr:cNvPr id="38" name="TextBox 37">
          <a:extLst>
            <a:ext uri="{FF2B5EF4-FFF2-40B4-BE49-F238E27FC236}">
              <a16:creationId xmlns:a16="http://schemas.microsoft.com/office/drawing/2014/main" id="{1762D140-5592-9E5C-AE9E-4ED5333BAC4B}"/>
            </a:ext>
          </a:extLst>
        </xdr:cNvPr>
        <xdr:cNvSpPr txBox="1"/>
      </xdr:nvSpPr>
      <xdr:spPr>
        <a:xfrm>
          <a:off x="5091153" y="2593451"/>
          <a:ext cx="1142007" cy="2527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solidFill>
                <a:schemeClr val="tx1"/>
              </a:solidFill>
            </a:rPr>
            <a:t>  </a:t>
          </a:r>
          <a:r>
            <a:rPr lang="en-IN" sz="700">
              <a:solidFill>
                <a:schemeClr val="accent2"/>
              </a:solidFill>
            </a:rPr>
            <a:t>INACTIVE (8%)</a:t>
          </a:r>
          <a:endParaRPr lang="en-IN" sz="1100">
            <a:solidFill>
              <a:schemeClr val="accent2"/>
            </a:solidFill>
          </a:endParaRPr>
        </a:p>
      </xdr:txBody>
    </xdr:sp>
    <xdr:clientData/>
  </xdr:twoCellAnchor>
  <xdr:twoCellAnchor>
    <xdr:from>
      <xdr:col>7</xdr:col>
      <xdr:colOff>530896</xdr:colOff>
      <xdr:row>14</xdr:row>
      <xdr:rowOff>155147</xdr:rowOff>
    </xdr:from>
    <xdr:to>
      <xdr:col>7</xdr:col>
      <xdr:colOff>583904</xdr:colOff>
      <xdr:row>15</xdr:row>
      <xdr:rowOff>32645</xdr:rowOff>
    </xdr:to>
    <xdr:sp macro="" textlink="">
      <xdr:nvSpPr>
        <xdr:cNvPr id="39" name="Rectangle 38">
          <a:extLst>
            <a:ext uri="{FF2B5EF4-FFF2-40B4-BE49-F238E27FC236}">
              <a16:creationId xmlns:a16="http://schemas.microsoft.com/office/drawing/2014/main" id="{BD7EEA05-3E62-0FC6-5629-EDC0CE2BC461}"/>
            </a:ext>
          </a:extLst>
        </xdr:cNvPr>
        <xdr:cNvSpPr/>
      </xdr:nvSpPr>
      <xdr:spPr>
        <a:xfrm>
          <a:off x="5169803" y="2705059"/>
          <a:ext cx="53008" cy="59635"/>
        </a:xfrm>
        <a:prstGeom prst="rect">
          <a:avLst/>
        </a:prstGeom>
        <a:solidFill>
          <a:schemeClr val="accent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591822</xdr:colOff>
      <xdr:row>15</xdr:row>
      <xdr:rowOff>126057</xdr:rowOff>
    </xdr:from>
    <xdr:to>
      <xdr:col>8</xdr:col>
      <xdr:colOff>490653</xdr:colOff>
      <xdr:row>17</xdr:row>
      <xdr:rowOff>13784</xdr:rowOff>
    </xdr:to>
    <xdr:sp macro="" textlink="">
      <xdr:nvSpPr>
        <xdr:cNvPr id="42" name="TextBox 41">
          <a:extLst>
            <a:ext uri="{FF2B5EF4-FFF2-40B4-BE49-F238E27FC236}">
              <a16:creationId xmlns:a16="http://schemas.microsoft.com/office/drawing/2014/main" id="{E34B817E-4C57-4A7F-806B-CBE0B075230E}"/>
            </a:ext>
          </a:extLst>
        </xdr:cNvPr>
        <xdr:cNvSpPr txBox="1"/>
      </xdr:nvSpPr>
      <xdr:spPr>
        <a:xfrm>
          <a:off x="5230729" y="2858106"/>
          <a:ext cx="805797" cy="252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700">
              <a:solidFill>
                <a:schemeClr val="accent5">
                  <a:lumMod val="60000"/>
                  <a:lumOff val="40000"/>
                </a:schemeClr>
              </a:solidFill>
            </a:rPr>
            <a:t> ACTIVE (92%)</a:t>
          </a:r>
          <a:endParaRPr lang="en-IN" sz="1100">
            <a:solidFill>
              <a:schemeClr val="accent5">
                <a:lumMod val="60000"/>
                <a:lumOff val="40000"/>
              </a:schemeClr>
            </a:solidFill>
          </a:endParaRPr>
        </a:p>
      </xdr:txBody>
    </xdr:sp>
    <xdr:clientData/>
  </xdr:twoCellAnchor>
  <xdr:twoCellAnchor>
    <xdr:from>
      <xdr:col>7</xdr:col>
      <xdr:colOff>627540</xdr:colOff>
      <xdr:row>16</xdr:row>
      <xdr:rowOff>17616</xdr:rowOff>
    </xdr:from>
    <xdr:to>
      <xdr:col>7</xdr:col>
      <xdr:colOff>680548</xdr:colOff>
      <xdr:row>16</xdr:row>
      <xdr:rowOff>77251</xdr:rowOff>
    </xdr:to>
    <xdr:sp macro="" textlink="">
      <xdr:nvSpPr>
        <xdr:cNvPr id="43" name="Rectangle 42">
          <a:extLst>
            <a:ext uri="{FF2B5EF4-FFF2-40B4-BE49-F238E27FC236}">
              <a16:creationId xmlns:a16="http://schemas.microsoft.com/office/drawing/2014/main" id="{89BED42D-2798-192D-360D-541644F7BA31}"/>
            </a:ext>
          </a:extLst>
        </xdr:cNvPr>
        <xdr:cNvSpPr/>
      </xdr:nvSpPr>
      <xdr:spPr>
        <a:xfrm>
          <a:off x="5266447" y="2931801"/>
          <a:ext cx="53008" cy="59635"/>
        </a:xfrm>
        <a:prstGeom prst="rect">
          <a:avLst/>
        </a:prstGeom>
        <a:solidFill>
          <a:schemeClr val="accent5">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216048</xdr:colOff>
      <xdr:row>4</xdr:row>
      <xdr:rowOff>11430</xdr:rowOff>
    </xdr:from>
    <xdr:to>
      <xdr:col>12</xdr:col>
      <xdr:colOff>337968</xdr:colOff>
      <xdr:row>11</xdr:row>
      <xdr:rowOff>19050</xdr:rowOff>
    </xdr:to>
    <xdr:sp macro="" textlink="">
      <xdr:nvSpPr>
        <xdr:cNvPr id="44" name="Rectangle: Rounded Corners 43">
          <a:extLst>
            <a:ext uri="{FF2B5EF4-FFF2-40B4-BE49-F238E27FC236}">
              <a16:creationId xmlns:a16="http://schemas.microsoft.com/office/drawing/2014/main" id="{67FFA281-FBCA-40CB-A590-CA059910A39F}"/>
            </a:ext>
          </a:extLst>
        </xdr:cNvPr>
        <xdr:cNvSpPr/>
      </xdr:nvSpPr>
      <xdr:spPr>
        <a:xfrm>
          <a:off x="6374801" y="728606"/>
          <a:ext cx="1950720" cy="1262679"/>
        </a:xfrm>
        <a:prstGeom prst="roundRect">
          <a:avLst/>
        </a:prstGeom>
        <a:solidFill>
          <a:schemeClr val="bg1"/>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337968</xdr:colOff>
      <xdr:row>5</xdr:row>
      <xdr:rowOff>174258</xdr:rowOff>
    </xdr:from>
    <xdr:to>
      <xdr:col>12</xdr:col>
      <xdr:colOff>279730</xdr:colOff>
      <xdr:row>9</xdr:row>
      <xdr:rowOff>148792</xdr:rowOff>
    </xdr:to>
    <xdr:sp macro="" textlink="">
      <xdr:nvSpPr>
        <xdr:cNvPr id="45" name="TextBox 44">
          <a:extLst>
            <a:ext uri="{FF2B5EF4-FFF2-40B4-BE49-F238E27FC236}">
              <a16:creationId xmlns:a16="http://schemas.microsoft.com/office/drawing/2014/main" id="{1CF4C18B-3AE8-4EF9-B79B-2C63684BEE9F}"/>
            </a:ext>
          </a:extLst>
        </xdr:cNvPr>
        <xdr:cNvSpPr txBox="1"/>
      </xdr:nvSpPr>
      <xdr:spPr>
        <a:xfrm>
          <a:off x="6496721" y="1070729"/>
          <a:ext cx="1770562" cy="6917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600" b="1">
              <a:solidFill>
                <a:schemeClr val="tx1"/>
              </a:solidFill>
              <a:effectLst/>
              <a:latin typeface="Agency FB" panose="020B0503020202020204" pitchFamily="34" charset="0"/>
              <a:cs typeface="Arial" panose="020B0604020202020204" pitchFamily="34" charset="0"/>
            </a:rPr>
            <a:t>Retention</a:t>
          </a:r>
          <a:r>
            <a:rPr lang="en-IN" sz="1600" b="1" baseline="0">
              <a:solidFill>
                <a:schemeClr val="tx1"/>
              </a:solidFill>
              <a:effectLst/>
              <a:latin typeface="Agency FB" panose="020B0503020202020204" pitchFamily="34" charset="0"/>
              <a:cs typeface="Arial" panose="020B0604020202020204" pitchFamily="34" charset="0"/>
            </a:rPr>
            <a:t> Rate</a:t>
          </a:r>
          <a:r>
            <a:rPr lang="en-IN" sz="1600" b="1">
              <a:solidFill>
                <a:schemeClr val="tx1"/>
              </a:solidFill>
              <a:effectLst/>
              <a:latin typeface="Agency FB" panose="020B0503020202020204" pitchFamily="34" charset="0"/>
              <a:cs typeface="Arial" panose="020B0604020202020204" pitchFamily="34" charset="0"/>
            </a:rPr>
            <a:t>: </a:t>
          </a:r>
        </a:p>
        <a:p>
          <a:pPr marL="0" marR="0" lvl="0" indent="0" algn="ctr" defTabSz="914400" eaLnBrk="1" fontAlgn="auto" latinLnBrk="0" hangingPunct="1">
            <a:lnSpc>
              <a:spcPct val="100000"/>
            </a:lnSpc>
            <a:spcBef>
              <a:spcPts val="0"/>
            </a:spcBef>
            <a:spcAft>
              <a:spcPts val="0"/>
            </a:spcAft>
            <a:buClrTx/>
            <a:buSzTx/>
            <a:buFontTx/>
            <a:buNone/>
            <a:tabLst/>
            <a:defRPr/>
          </a:pPr>
          <a:r>
            <a:rPr lang="en-IN" sz="2000" b="1" i="0">
              <a:solidFill>
                <a:schemeClr val="dk1"/>
              </a:solidFill>
              <a:effectLst/>
              <a:latin typeface="Agency FB" panose="020B0503020202020204" pitchFamily="34" charset="0"/>
              <a:ea typeface="+mn-ea"/>
              <a:cs typeface="+mn-cs"/>
            </a:rPr>
            <a:t>92%</a:t>
          </a:r>
          <a:endParaRPr lang="en-IN" sz="2800">
            <a:effectLst/>
            <a:latin typeface="Agency FB" panose="020B0503020202020204" pitchFamily="34" charset="0"/>
          </a:endParaRPr>
        </a:p>
      </xdr:txBody>
    </xdr:sp>
    <xdr:clientData/>
  </xdr:twoCellAnchor>
  <xdr:twoCellAnchor>
    <xdr:from>
      <xdr:col>5</xdr:col>
      <xdr:colOff>424030</xdr:colOff>
      <xdr:row>24</xdr:row>
      <xdr:rowOff>167865</xdr:rowOff>
    </xdr:from>
    <xdr:to>
      <xdr:col>10</xdr:col>
      <xdr:colOff>76200</xdr:colOff>
      <xdr:row>36</xdr:row>
      <xdr:rowOff>2466</xdr:rowOff>
    </xdr:to>
    <xdr:graphicFrame macro="">
      <xdr:nvGraphicFramePr>
        <xdr:cNvPr id="47" name="Chart 46">
          <a:extLst>
            <a:ext uri="{FF2B5EF4-FFF2-40B4-BE49-F238E27FC236}">
              <a16:creationId xmlns:a16="http://schemas.microsoft.com/office/drawing/2014/main" id="{7169CECE-4BBF-4B93-8B9F-F2C4A3B28C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533849</xdr:colOff>
      <xdr:row>23</xdr:row>
      <xdr:rowOff>28912</xdr:rowOff>
    </xdr:from>
    <xdr:to>
      <xdr:col>9</xdr:col>
      <xdr:colOff>327661</xdr:colOff>
      <xdr:row>25</xdr:row>
      <xdr:rowOff>28912</xdr:rowOff>
    </xdr:to>
    <xdr:sp macro="" textlink="">
      <xdr:nvSpPr>
        <xdr:cNvPr id="48" name="TextBox 47">
          <a:extLst>
            <a:ext uri="{FF2B5EF4-FFF2-40B4-BE49-F238E27FC236}">
              <a16:creationId xmlns:a16="http://schemas.microsoft.com/office/drawing/2014/main" id="{1E83121F-893A-4759-B65A-02A54C690205}"/>
            </a:ext>
          </a:extLst>
        </xdr:cNvPr>
        <xdr:cNvSpPr txBox="1"/>
      </xdr:nvSpPr>
      <xdr:spPr>
        <a:xfrm>
          <a:off x="3581849" y="4235152"/>
          <a:ext cx="2902772" cy="3657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800">
              <a:solidFill>
                <a:schemeClr val="bg1"/>
              </a:solidFill>
              <a:latin typeface="Agency FB" panose="020B0503020202020204" pitchFamily="34" charset="0"/>
            </a:rPr>
            <a:t>Employee Performance Distribution:</a:t>
          </a:r>
        </a:p>
      </xdr:txBody>
    </xdr:sp>
    <xdr:clientData/>
  </xdr:twoCellAnchor>
  <xdr:twoCellAnchor>
    <xdr:from>
      <xdr:col>0</xdr:col>
      <xdr:colOff>457200</xdr:colOff>
      <xdr:row>25</xdr:row>
      <xdr:rowOff>43255</xdr:rowOff>
    </xdr:from>
    <xdr:to>
      <xdr:col>5</xdr:col>
      <xdr:colOff>518160</xdr:colOff>
      <xdr:row>36</xdr:row>
      <xdr:rowOff>96595</xdr:rowOff>
    </xdr:to>
    <xdr:graphicFrame macro="">
      <xdr:nvGraphicFramePr>
        <xdr:cNvPr id="49" name="Chart 48">
          <a:extLst>
            <a:ext uri="{FF2B5EF4-FFF2-40B4-BE49-F238E27FC236}">
              <a16:creationId xmlns:a16="http://schemas.microsoft.com/office/drawing/2014/main" id="{855E17D5-394E-4670-A8AD-9B3594DBAD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594809</xdr:colOff>
      <xdr:row>23</xdr:row>
      <xdr:rowOff>51772</xdr:rowOff>
    </xdr:from>
    <xdr:to>
      <xdr:col>4</xdr:col>
      <xdr:colOff>160020</xdr:colOff>
      <xdr:row>25</xdr:row>
      <xdr:rowOff>51772</xdr:rowOff>
    </xdr:to>
    <xdr:sp macro="" textlink="">
      <xdr:nvSpPr>
        <xdr:cNvPr id="50" name="TextBox 49">
          <a:extLst>
            <a:ext uri="{FF2B5EF4-FFF2-40B4-BE49-F238E27FC236}">
              <a16:creationId xmlns:a16="http://schemas.microsoft.com/office/drawing/2014/main" id="{DB156EAB-FFF2-437B-9D7E-3EA3622E1F2C}"/>
            </a:ext>
          </a:extLst>
        </xdr:cNvPr>
        <xdr:cNvSpPr txBox="1"/>
      </xdr:nvSpPr>
      <xdr:spPr>
        <a:xfrm>
          <a:off x="594809" y="4258012"/>
          <a:ext cx="2003611" cy="3657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800">
              <a:solidFill>
                <a:schemeClr val="bg1"/>
              </a:solidFill>
              <a:latin typeface="Agency FB" panose="020B0503020202020204" pitchFamily="34" charset="0"/>
            </a:rPr>
            <a:t>Salary</a:t>
          </a:r>
          <a:r>
            <a:rPr lang="en-IN" sz="1800" baseline="0">
              <a:solidFill>
                <a:schemeClr val="bg1"/>
              </a:solidFill>
              <a:latin typeface="Agency FB" panose="020B0503020202020204" pitchFamily="34" charset="0"/>
            </a:rPr>
            <a:t> Vs Experience</a:t>
          </a:r>
          <a:r>
            <a:rPr lang="en-IN" sz="1800">
              <a:solidFill>
                <a:schemeClr val="bg1"/>
              </a:solidFill>
              <a:latin typeface="Agency FB" panose="020B0503020202020204" pitchFamily="34" charset="0"/>
            </a:rPr>
            <a:t>:</a:t>
          </a:r>
        </a:p>
      </xdr:txBody>
    </xdr:sp>
    <xdr:clientData/>
  </xdr:twoCellAnchor>
  <xdr:twoCellAnchor>
    <xdr:from>
      <xdr:col>12</xdr:col>
      <xdr:colOff>421788</xdr:colOff>
      <xdr:row>4</xdr:row>
      <xdr:rowOff>3810</xdr:rowOff>
    </xdr:from>
    <xdr:to>
      <xdr:col>15</xdr:col>
      <xdr:colOff>543708</xdr:colOff>
      <xdr:row>11</xdr:row>
      <xdr:rowOff>11430</xdr:rowOff>
    </xdr:to>
    <xdr:sp macro="" textlink="">
      <xdr:nvSpPr>
        <xdr:cNvPr id="51" name="Rectangle: Rounded Corners 50">
          <a:extLst>
            <a:ext uri="{FF2B5EF4-FFF2-40B4-BE49-F238E27FC236}">
              <a16:creationId xmlns:a16="http://schemas.microsoft.com/office/drawing/2014/main" id="{CEB2951F-55C4-49BD-A2B7-AEB3BB8D98CD}"/>
            </a:ext>
          </a:extLst>
        </xdr:cNvPr>
        <xdr:cNvSpPr/>
      </xdr:nvSpPr>
      <xdr:spPr>
        <a:xfrm>
          <a:off x="8409341" y="720986"/>
          <a:ext cx="1950720" cy="1262679"/>
        </a:xfrm>
        <a:prstGeom prst="roundRect">
          <a:avLst/>
        </a:prstGeom>
        <a:solidFill>
          <a:schemeClr val="bg1"/>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543708</xdr:colOff>
      <xdr:row>5</xdr:row>
      <xdr:rowOff>166638</xdr:rowOff>
    </xdr:from>
    <xdr:to>
      <xdr:col>15</xdr:col>
      <xdr:colOff>485470</xdr:colOff>
      <xdr:row>9</xdr:row>
      <xdr:rowOff>141172</xdr:rowOff>
    </xdr:to>
    <xdr:sp macro="" textlink="">
      <xdr:nvSpPr>
        <xdr:cNvPr id="52" name="TextBox 51">
          <a:extLst>
            <a:ext uri="{FF2B5EF4-FFF2-40B4-BE49-F238E27FC236}">
              <a16:creationId xmlns:a16="http://schemas.microsoft.com/office/drawing/2014/main" id="{A9DB3D93-DF0D-458D-BD9E-84B4A6010A35}"/>
            </a:ext>
          </a:extLst>
        </xdr:cNvPr>
        <xdr:cNvSpPr txBox="1"/>
      </xdr:nvSpPr>
      <xdr:spPr>
        <a:xfrm>
          <a:off x="8531261" y="1063109"/>
          <a:ext cx="1770562" cy="6917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600" b="1">
              <a:solidFill>
                <a:schemeClr val="tx1"/>
              </a:solidFill>
              <a:effectLst/>
              <a:latin typeface="Agency FB" panose="020B0503020202020204" pitchFamily="34" charset="0"/>
              <a:cs typeface="Arial" panose="020B0604020202020204" pitchFamily="34" charset="0"/>
            </a:rPr>
            <a:t>Inactive: </a:t>
          </a:r>
        </a:p>
        <a:p>
          <a:pPr marL="0" marR="0" lvl="0" indent="0" algn="ctr" defTabSz="914400" eaLnBrk="1" fontAlgn="auto" latinLnBrk="0" hangingPunct="1">
            <a:lnSpc>
              <a:spcPct val="100000"/>
            </a:lnSpc>
            <a:spcBef>
              <a:spcPts val="0"/>
            </a:spcBef>
            <a:spcAft>
              <a:spcPts val="0"/>
            </a:spcAft>
            <a:buClrTx/>
            <a:buSzTx/>
            <a:buFontTx/>
            <a:buNone/>
            <a:tabLst/>
            <a:defRPr/>
          </a:pPr>
          <a:r>
            <a:rPr lang="en-IN" sz="2000" b="1" i="0">
              <a:solidFill>
                <a:schemeClr val="dk1"/>
              </a:solidFill>
              <a:effectLst/>
              <a:latin typeface="Agency FB" panose="020B0503020202020204" pitchFamily="34" charset="0"/>
              <a:ea typeface="+mn-ea"/>
              <a:cs typeface="+mn-cs"/>
            </a:rPr>
            <a:t>8%</a:t>
          </a:r>
          <a:endParaRPr lang="en-IN" sz="2800">
            <a:effectLst/>
            <a:latin typeface="Agency FB" panose="020B0503020202020204" pitchFamily="34" charset="0"/>
          </a:endParaRPr>
        </a:p>
      </xdr:txBody>
    </xdr:sp>
    <xdr:clientData/>
  </xdr:twoCellAnchor>
  <xdr:twoCellAnchor>
    <xdr:from>
      <xdr:col>9</xdr:col>
      <xdr:colOff>129880</xdr:colOff>
      <xdr:row>13</xdr:row>
      <xdr:rowOff>69062</xdr:rowOff>
    </xdr:from>
    <xdr:to>
      <xdr:col>12</xdr:col>
      <xdr:colOff>237009</xdr:colOff>
      <xdr:row>23</xdr:row>
      <xdr:rowOff>137160</xdr:rowOff>
    </xdr:to>
    <mc:AlternateContent xmlns:mc="http://schemas.openxmlformats.org/markup-compatibility/2006">
      <mc:Choice xmlns:cx1="http://schemas.microsoft.com/office/drawing/2015/9/8/chartex" Requires="cx1">
        <xdr:graphicFrame macro="">
          <xdr:nvGraphicFramePr>
            <xdr:cNvPr id="66" name="Chart 65">
              <a:extLst>
                <a:ext uri="{FF2B5EF4-FFF2-40B4-BE49-F238E27FC236}">
                  <a16:creationId xmlns:a16="http://schemas.microsoft.com/office/drawing/2014/main" id="{BC899B73-0462-46D9-873C-96F7ECA00E12}"/>
                </a:ext>
              </a:extLst>
            </xdr:cNvPr>
            <xdr:cNvGraphicFramePr>
              <a:graphicFrameLocks/>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7"/>
            </a:graphicData>
          </a:graphic>
        </xdr:graphicFrame>
      </mc:Choice>
      <mc:Fallback>
        <xdr:sp macro="" textlink="">
          <xdr:nvSpPr>
            <xdr:cNvPr id="0" name=""/>
            <xdr:cNvSpPr>
              <a:spLocks noTextEdit="1"/>
            </xdr:cNvSpPr>
          </xdr:nvSpPr>
          <xdr:spPr>
            <a:xfrm>
              <a:off x="6286840" y="2446502"/>
              <a:ext cx="1935929" cy="1896898"/>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8</xdr:col>
      <xdr:colOff>553247</xdr:colOff>
      <xdr:row>11</xdr:row>
      <xdr:rowOff>86510</xdr:rowOff>
    </xdr:from>
    <xdr:to>
      <xdr:col>11</xdr:col>
      <xdr:colOff>411157</xdr:colOff>
      <xdr:row>13</xdr:row>
      <xdr:rowOff>86509</xdr:rowOff>
    </xdr:to>
    <xdr:sp macro="" textlink="">
      <xdr:nvSpPr>
        <xdr:cNvPr id="67" name="TextBox 66">
          <a:extLst>
            <a:ext uri="{FF2B5EF4-FFF2-40B4-BE49-F238E27FC236}">
              <a16:creationId xmlns:a16="http://schemas.microsoft.com/office/drawing/2014/main" id="{E4E57B87-643E-439C-BBA9-437CFE8954B3}"/>
            </a:ext>
          </a:extLst>
        </xdr:cNvPr>
        <xdr:cNvSpPr txBox="1"/>
      </xdr:nvSpPr>
      <xdr:spPr>
        <a:xfrm>
          <a:off x="6102709" y="2109751"/>
          <a:ext cx="1686710" cy="36786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800">
              <a:solidFill>
                <a:schemeClr val="bg1"/>
              </a:solidFill>
              <a:latin typeface="Agency FB" panose="020B0503020202020204" pitchFamily="34" charset="0"/>
            </a:rPr>
            <a:t>Gender Ratio</a:t>
          </a:r>
          <a:r>
            <a:rPr lang="en-IN" sz="1800" baseline="0">
              <a:solidFill>
                <a:schemeClr val="bg1"/>
              </a:solidFill>
              <a:latin typeface="Agency FB" panose="020B0503020202020204" pitchFamily="34" charset="0"/>
            </a:rPr>
            <a:t>:</a:t>
          </a:r>
          <a:endParaRPr lang="en-IN" sz="1800">
            <a:solidFill>
              <a:schemeClr val="bg1"/>
            </a:solidFill>
            <a:latin typeface="Agency FB" panose="020B0503020202020204" pitchFamily="34" charset="0"/>
          </a:endParaRPr>
        </a:p>
      </xdr:txBody>
    </xdr:sp>
    <xdr:clientData/>
  </xdr:twoCellAnchor>
  <xdr:twoCellAnchor>
    <xdr:from>
      <xdr:col>12</xdr:col>
      <xdr:colOff>19387</xdr:colOff>
      <xdr:row>13</xdr:row>
      <xdr:rowOff>164510</xdr:rowOff>
    </xdr:from>
    <xdr:to>
      <xdr:col>13</xdr:col>
      <xdr:colOff>551794</xdr:colOff>
      <xdr:row>15</xdr:row>
      <xdr:rowOff>50441</xdr:rowOff>
    </xdr:to>
    <xdr:sp macro="" textlink="">
      <xdr:nvSpPr>
        <xdr:cNvPr id="68" name="TextBox 67">
          <a:extLst>
            <a:ext uri="{FF2B5EF4-FFF2-40B4-BE49-F238E27FC236}">
              <a16:creationId xmlns:a16="http://schemas.microsoft.com/office/drawing/2014/main" id="{A9427407-407E-414E-89A7-9F506AD3BCF2}"/>
            </a:ext>
          </a:extLst>
        </xdr:cNvPr>
        <xdr:cNvSpPr txBox="1"/>
      </xdr:nvSpPr>
      <xdr:spPr>
        <a:xfrm>
          <a:off x="8007249" y="2555613"/>
          <a:ext cx="1142007" cy="2537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solidFill>
                <a:schemeClr val="accent6">
                  <a:lumMod val="60000"/>
                  <a:lumOff val="40000"/>
                </a:schemeClr>
              </a:solidFill>
            </a:rPr>
            <a:t>  </a:t>
          </a:r>
          <a:r>
            <a:rPr lang="en-IN" sz="700">
              <a:solidFill>
                <a:schemeClr val="accent6">
                  <a:lumMod val="60000"/>
                  <a:lumOff val="40000"/>
                </a:schemeClr>
              </a:solidFill>
            </a:rPr>
            <a:t>Male (54%)</a:t>
          </a:r>
          <a:endParaRPr lang="en-IN" sz="1100">
            <a:solidFill>
              <a:schemeClr val="accent6">
                <a:lumMod val="60000"/>
                <a:lumOff val="40000"/>
              </a:schemeClr>
            </a:solidFill>
          </a:endParaRPr>
        </a:p>
      </xdr:txBody>
    </xdr:sp>
    <xdr:clientData/>
  </xdr:twoCellAnchor>
  <xdr:twoCellAnchor>
    <xdr:from>
      <xdr:col>12</xdr:col>
      <xdr:colOff>174203</xdr:colOff>
      <xdr:row>15</xdr:row>
      <xdr:rowOff>53683</xdr:rowOff>
    </xdr:from>
    <xdr:to>
      <xdr:col>14</xdr:col>
      <xdr:colOff>97010</xdr:colOff>
      <xdr:row>16</xdr:row>
      <xdr:rowOff>124598</xdr:rowOff>
    </xdr:to>
    <xdr:sp macro="" textlink="">
      <xdr:nvSpPr>
        <xdr:cNvPr id="69" name="TextBox 68">
          <a:extLst>
            <a:ext uri="{FF2B5EF4-FFF2-40B4-BE49-F238E27FC236}">
              <a16:creationId xmlns:a16="http://schemas.microsoft.com/office/drawing/2014/main" id="{2267A2B0-450D-47A6-9FE7-8D64D903B7A2}"/>
            </a:ext>
          </a:extLst>
        </xdr:cNvPr>
        <xdr:cNvSpPr txBox="1"/>
      </xdr:nvSpPr>
      <xdr:spPr>
        <a:xfrm>
          <a:off x="8162065" y="2812649"/>
          <a:ext cx="1142007" cy="2548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solidFill>
                <a:schemeClr val="accent5">
                  <a:lumMod val="60000"/>
                  <a:lumOff val="40000"/>
                </a:schemeClr>
              </a:solidFill>
            </a:rPr>
            <a:t>  </a:t>
          </a:r>
          <a:r>
            <a:rPr lang="en-IN" sz="700">
              <a:solidFill>
                <a:schemeClr val="accent5">
                  <a:lumMod val="60000"/>
                  <a:lumOff val="40000"/>
                </a:schemeClr>
              </a:solidFill>
            </a:rPr>
            <a:t>Female (46%)</a:t>
          </a:r>
          <a:endParaRPr lang="en-IN" sz="1100">
            <a:solidFill>
              <a:schemeClr val="accent5">
                <a:lumMod val="60000"/>
                <a:lumOff val="40000"/>
              </a:schemeClr>
            </a:solidFill>
          </a:endParaRPr>
        </a:p>
      </xdr:txBody>
    </xdr:sp>
    <xdr:clientData/>
  </xdr:twoCellAnchor>
  <xdr:twoCellAnchor>
    <xdr:from>
      <xdr:col>12</xdr:col>
      <xdr:colOff>105262</xdr:colOff>
      <xdr:row>14</xdr:row>
      <xdr:rowOff>99848</xdr:rowOff>
    </xdr:from>
    <xdr:to>
      <xdr:col>12</xdr:col>
      <xdr:colOff>158270</xdr:colOff>
      <xdr:row>14</xdr:row>
      <xdr:rowOff>161277</xdr:rowOff>
    </xdr:to>
    <xdr:sp macro="" textlink="">
      <xdr:nvSpPr>
        <xdr:cNvPr id="70" name="Rectangle 69">
          <a:extLst>
            <a:ext uri="{FF2B5EF4-FFF2-40B4-BE49-F238E27FC236}">
              <a16:creationId xmlns:a16="http://schemas.microsoft.com/office/drawing/2014/main" id="{C8A2A4FE-0615-4326-A4D5-18B46A02E85C}"/>
            </a:ext>
          </a:extLst>
        </xdr:cNvPr>
        <xdr:cNvSpPr/>
      </xdr:nvSpPr>
      <xdr:spPr>
        <a:xfrm>
          <a:off x="8093124" y="2674882"/>
          <a:ext cx="53008" cy="61429"/>
        </a:xfrm>
        <a:prstGeom prst="rect">
          <a:avLst/>
        </a:prstGeom>
        <a:solidFill>
          <a:schemeClr val="accent6">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248518</xdr:colOff>
      <xdr:row>15</xdr:row>
      <xdr:rowOff>176049</xdr:rowOff>
    </xdr:from>
    <xdr:to>
      <xdr:col>12</xdr:col>
      <xdr:colOff>301526</xdr:colOff>
      <xdr:row>16</xdr:row>
      <xdr:rowOff>52496</xdr:rowOff>
    </xdr:to>
    <xdr:sp macro="" textlink="">
      <xdr:nvSpPr>
        <xdr:cNvPr id="71" name="Rectangle 70">
          <a:extLst>
            <a:ext uri="{FF2B5EF4-FFF2-40B4-BE49-F238E27FC236}">
              <a16:creationId xmlns:a16="http://schemas.microsoft.com/office/drawing/2014/main" id="{9A652501-BCFC-2B49-5090-BFB3093FB112}"/>
            </a:ext>
          </a:extLst>
        </xdr:cNvPr>
        <xdr:cNvSpPr/>
      </xdr:nvSpPr>
      <xdr:spPr>
        <a:xfrm>
          <a:off x="8236380" y="2935015"/>
          <a:ext cx="53008" cy="60378"/>
        </a:xfrm>
        <a:prstGeom prst="rect">
          <a:avLst/>
        </a:prstGeom>
        <a:solidFill>
          <a:schemeClr val="accent5">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526229</xdr:colOff>
      <xdr:row>23</xdr:row>
      <xdr:rowOff>51772</xdr:rowOff>
    </xdr:from>
    <xdr:to>
      <xdr:col>14</xdr:col>
      <xdr:colOff>381001</xdr:colOff>
      <xdr:row>25</xdr:row>
      <xdr:rowOff>51772</xdr:rowOff>
    </xdr:to>
    <xdr:sp macro="" textlink="">
      <xdr:nvSpPr>
        <xdr:cNvPr id="72" name="TextBox 71">
          <a:extLst>
            <a:ext uri="{FF2B5EF4-FFF2-40B4-BE49-F238E27FC236}">
              <a16:creationId xmlns:a16="http://schemas.microsoft.com/office/drawing/2014/main" id="{54FA150D-F707-4EDF-AC81-F7A27D5C5258}"/>
            </a:ext>
          </a:extLst>
        </xdr:cNvPr>
        <xdr:cNvSpPr txBox="1"/>
      </xdr:nvSpPr>
      <xdr:spPr>
        <a:xfrm>
          <a:off x="6683189" y="4258012"/>
          <a:ext cx="2902772" cy="3657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800">
              <a:solidFill>
                <a:schemeClr val="bg1"/>
              </a:solidFill>
              <a:latin typeface="Agency FB" panose="020B0503020202020204" pitchFamily="34" charset="0"/>
            </a:rPr>
            <a:t>Employee By</a:t>
          </a:r>
          <a:r>
            <a:rPr lang="en-IN" sz="1800" baseline="0">
              <a:solidFill>
                <a:schemeClr val="bg1"/>
              </a:solidFill>
              <a:latin typeface="Agency FB" panose="020B0503020202020204" pitchFamily="34" charset="0"/>
            </a:rPr>
            <a:t> Department</a:t>
          </a:r>
          <a:r>
            <a:rPr lang="en-IN" sz="1800">
              <a:solidFill>
                <a:schemeClr val="bg1"/>
              </a:solidFill>
              <a:latin typeface="Agency FB" panose="020B0503020202020204" pitchFamily="34" charset="0"/>
            </a:rPr>
            <a:t>:</a:t>
          </a:r>
        </a:p>
      </xdr:txBody>
    </xdr:sp>
    <xdr:clientData/>
  </xdr:twoCellAnchor>
  <xdr:twoCellAnchor>
    <xdr:from>
      <xdr:col>9</xdr:col>
      <xdr:colOff>449580</xdr:colOff>
      <xdr:row>25</xdr:row>
      <xdr:rowOff>114300</xdr:rowOff>
    </xdr:from>
    <xdr:to>
      <xdr:col>15</xdr:col>
      <xdr:colOff>220980</xdr:colOff>
      <xdr:row>36</xdr:row>
      <xdr:rowOff>22860</xdr:rowOff>
    </xdr:to>
    <xdr:graphicFrame macro="">
      <xdr:nvGraphicFramePr>
        <xdr:cNvPr id="73" name="Chart 72">
          <a:extLst>
            <a:ext uri="{FF2B5EF4-FFF2-40B4-BE49-F238E27FC236}">
              <a16:creationId xmlns:a16="http://schemas.microsoft.com/office/drawing/2014/main" id="{FB81801D-6137-4399-87DE-D3F8D27B6F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110B4967-B897-43CE-B147-D253A1AA2C37}" sourceName="Department">
  <extLst>
    <x:ext xmlns:x15="http://schemas.microsoft.com/office/spreadsheetml/2010/11/main" uri="{2F2917AC-EB37-4324-AD4E-5DD8C200BD13}">
      <x15:tableSlicerCache tableId="1"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92C91B96-9F9E-4EDA-9BC2-4F1671CA7B75}" cache="Slicer_Department" caption="Department" columnCount="6"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2E4C39-DF24-4220-8ECF-7F533F0B50F9}" name="Table1" displayName="Table1" ref="A5:L55" totalsRowShown="0" headerRowDxfId="15" dataDxfId="13" headerRowBorderDxfId="14" tableBorderDxfId="12" totalsRowBorderDxfId="11">
  <autoFilter ref="A5:L55" xr:uid="{B42E4C39-DF24-4220-8ECF-7F533F0B50F9}"/>
  <tableColumns count="12">
    <tableColumn id="1" xr3:uid="{51596B53-8671-44B8-A162-8B478F993C6D}" name="Employee ID" dataDxfId="10"/>
    <tableColumn id="2" xr3:uid="{3581D92F-4726-4F85-893A-7F693FFC062E}" name="Employee Name" dataDxfId="9"/>
    <tableColumn id="3" xr3:uid="{5D3EDE5C-4C19-4D51-A8DB-99AD8AA0D26F}" name="Department" dataDxfId="8"/>
    <tableColumn id="4" xr3:uid="{308523E7-9E69-4C8F-88AA-C8228E521B2A}" name="Designation" dataDxfId="7"/>
    <tableColumn id="5" xr3:uid="{B08F644F-37C8-4310-A9CB-CA2AE90762AD}" name="Gender" dataDxfId="6"/>
    <tableColumn id="6" xr3:uid="{BA4F55FF-94BA-4AA7-A2D4-B27395FCEF08}" name="Age" dataDxfId="5"/>
    <tableColumn id="7" xr3:uid="{B038EF79-2AA0-4359-972F-2E58CA18E36A}" name="Joining Date" dataDxfId="4"/>
    <tableColumn id="8" xr3:uid="{816E9CC4-06E8-4875-B89C-BEC982FD111C}" name="Experience (Years)" dataDxfId="3"/>
    <tableColumn id="9" xr3:uid="{42BB86C6-B965-4FA2-B86E-08A53D99E626}" name="Salary" dataDxfId="2"/>
    <tableColumn id="10" xr3:uid="{98A5757F-D466-40CF-AB97-DABD72B42083}" name="Performance Rating" dataDxfId="1"/>
    <tableColumn id="11" xr3:uid="{DF2375FB-A359-459C-B290-91D954DFF6B7}" name="Status" dataDxfId="0"/>
    <tableColumn id="12" xr3:uid="{8B52B59D-2117-47AC-8410-E923AF2B5374}" name="Addres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Custom 1">
      <a:dk1>
        <a:sysClr val="windowText" lastClr="000000"/>
      </a:dk1>
      <a:lt1>
        <a:sysClr val="window" lastClr="FFFFFF"/>
      </a:lt1>
      <a:dk2>
        <a:srgbClr val="44546A"/>
      </a:dk2>
      <a:lt2>
        <a:srgbClr val="E7E6E6"/>
      </a:lt2>
      <a:accent1>
        <a:srgbClr val="4472C4"/>
      </a:accent1>
      <a:accent2>
        <a:srgbClr val="FD2121"/>
      </a:accent2>
      <a:accent3>
        <a:srgbClr val="A5A5A5"/>
      </a:accent3>
      <a:accent4>
        <a:srgbClr val="0070C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E35F2-7983-4AED-9A6C-D9088354F85A}">
  <sheetPr>
    <pageSetUpPr fitToPage="1"/>
  </sheetPr>
  <dimension ref="A5:L57"/>
  <sheetViews>
    <sheetView tabSelected="1" zoomScale="55" zoomScaleNormal="55" workbookViewId="0">
      <selection activeCell="V38" sqref="V38"/>
    </sheetView>
  </sheetViews>
  <sheetFormatPr defaultRowHeight="14.4" x14ac:dyDescent="0.3"/>
  <cols>
    <col min="1" max="1" width="13.44140625" customWidth="1"/>
    <col min="2" max="2" width="16.6640625" customWidth="1"/>
    <col min="3" max="3" width="13" customWidth="1"/>
    <col min="4" max="4" width="25" bestFit="1" customWidth="1"/>
    <col min="5" max="5" width="13.88671875" customWidth="1"/>
    <col min="6" max="6" width="10" bestFit="1" customWidth="1"/>
    <col min="7" max="7" width="13.109375" customWidth="1"/>
    <col min="8" max="8" width="18.21875" customWidth="1"/>
    <col min="9" max="9" width="11.77734375" customWidth="1"/>
    <col min="10" max="10" width="19.5546875" customWidth="1"/>
    <col min="11" max="11" width="8.109375" customWidth="1"/>
    <col min="12" max="12" width="32.44140625" bestFit="1" customWidth="1"/>
    <col min="14" max="14" width="10" bestFit="1" customWidth="1"/>
  </cols>
  <sheetData>
    <row r="5" spans="1:12" x14ac:dyDescent="0.3">
      <c r="A5" s="4" t="s">
        <v>0</v>
      </c>
      <c r="B5" s="5" t="s">
        <v>1</v>
      </c>
      <c r="C5" s="5" t="s">
        <v>2</v>
      </c>
      <c r="D5" s="5" t="s">
        <v>3</v>
      </c>
      <c r="E5" s="5" t="s">
        <v>4</v>
      </c>
      <c r="F5" s="5" t="s">
        <v>5</v>
      </c>
      <c r="G5" s="5" t="s">
        <v>6</v>
      </c>
      <c r="H5" s="5" t="s">
        <v>7</v>
      </c>
      <c r="I5" s="5" t="s">
        <v>8</v>
      </c>
      <c r="J5" s="5" t="s">
        <v>9</v>
      </c>
      <c r="K5" s="5" t="s">
        <v>10</v>
      </c>
      <c r="L5" s="14" t="s">
        <v>176</v>
      </c>
    </row>
    <row r="6" spans="1:12" x14ac:dyDescent="0.3">
      <c r="A6" s="3" t="s">
        <v>11</v>
      </c>
      <c r="B6" s="1" t="s">
        <v>12</v>
      </c>
      <c r="C6" s="1" t="s">
        <v>13</v>
      </c>
      <c r="D6" s="1" t="s">
        <v>14</v>
      </c>
      <c r="E6" s="1" t="s">
        <v>15</v>
      </c>
      <c r="F6" s="1">
        <v>28</v>
      </c>
      <c r="G6" s="2">
        <v>43631</v>
      </c>
      <c r="H6" s="1">
        <v>5</v>
      </c>
      <c r="I6" s="1">
        <v>45000</v>
      </c>
      <c r="J6" s="1">
        <v>4</v>
      </c>
      <c r="K6" s="1" t="s">
        <v>16</v>
      </c>
      <c r="L6" s="15" t="s">
        <v>177</v>
      </c>
    </row>
    <row r="7" spans="1:12" x14ac:dyDescent="0.3">
      <c r="A7" s="3" t="s">
        <v>17</v>
      </c>
      <c r="B7" s="1" t="s">
        <v>18</v>
      </c>
      <c r="C7" s="1" t="s">
        <v>19</v>
      </c>
      <c r="D7" s="1" t="s">
        <v>20</v>
      </c>
      <c r="E7" s="1" t="s">
        <v>15</v>
      </c>
      <c r="F7" s="1">
        <v>32</v>
      </c>
      <c r="G7" s="2">
        <v>43169</v>
      </c>
      <c r="H7" s="1">
        <v>7</v>
      </c>
      <c r="I7" s="1">
        <v>52000</v>
      </c>
      <c r="J7" s="1">
        <v>5</v>
      </c>
      <c r="K7" s="1" t="s">
        <v>16</v>
      </c>
      <c r="L7" s="15" t="s">
        <v>178</v>
      </c>
    </row>
    <row r="8" spans="1:12" x14ac:dyDescent="0.3">
      <c r="A8" s="3" t="s">
        <v>21</v>
      </c>
      <c r="B8" s="1" t="s">
        <v>22</v>
      </c>
      <c r="C8" s="1" t="s">
        <v>23</v>
      </c>
      <c r="D8" s="1" t="s">
        <v>24</v>
      </c>
      <c r="E8" s="1" t="s">
        <v>25</v>
      </c>
      <c r="F8" s="1">
        <v>26</v>
      </c>
      <c r="G8" s="2">
        <v>44409</v>
      </c>
      <c r="H8" s="1">
        <v>3</v>
      </c>
      <c r="I8" s="1">
        <v>60000</v>
      </c>
      <c r="J8" s="1">
        <v>4</v>
      </c>
      <c r="K8" s="1" t="s">
        <v>16</v>
      </c>
      <c r="L8" s="15" t="s">
        <v>179</v>
      </c>
    </row>
    <row r="9" spans="1:12" x14ac:dyDescent="0.3">
      <c r="A9" s="3" t="s">
        <v>26</v>
      </c>
      <c r="B9" s="1" t="s">
        <v>27</v>
      </c>
      <c r="C9" s="1" t="s">
        <v>28</v>
      </c>
      <c r="D9" s="1" t="s">
        <v>29</v>
      </c>
      <c r="E9" s="1" t="s">
        <v>15</v>
      </c>
      <c r="F9" s="1">
        <v>35</v>
      </c>
      <c r="G9" s="2">
        <v>42755</v>
      </c>
      <c r="H9" s="1">
        <v>9</v>
      </c>
      <c r="I9" s="1">
        <v>58000</v>
      </c>
      <c r="J9" s="1">
        <v>3</v>
      </c>
      <c r="K9" s="1" t="s">
        <v>30</v>
      </c>
      <c r="L9" s="15" t="s">
        <v>180</v>
      </c>
    </row>
    <row r="10" spans="1:12" x14ac:dyDescent="0.3">
      <c r="A10" s="3" t="s">
        <v>31</v>
      </c>
      <c r="B10" s="1" t="s">
        <v>32</v>
      </c>
      <c r="C10" s="1" t="s">
        <v>33</v>
      </c>
      <c r="D10" s="1" t="s">
        <v>34</v>
      </c>
      <c r="E10" s="1" t="s">
        <v>25</v>
      </c>
      <c r="F10" s="1">
        <v>29</v>
      </c>
      <c r="G10" s="2">
        <v>44147</v>
      </c>
      <c r="H10" s="1">
        <v>4</v>
      </c>
      <c r="I10" s="1">
        <v>48000</v>
      </c>
      <c r="J10" s="1">
        <v>4</v>
      </c>
      <c r="K10" s="1" t="s">
        <v>16</v>
      </c>
      <c r="L10" s="15" t="s">
        <v>181</v>
      </c>
    </row>
    <row r="11" spans="1:12" x14ac:dyDescent="0.3">
      <c r="A11" s="3" t="s">
        <v>35</v>
      </c>
      <c r="B11" s="1" t="s">
        <v>36</v>
      </c>
      <c r="C11" s="1" t="s">
        <v>23</v>
      </c>
      <c r="D11" s="1" t="s">
        <v>37</v>
      </c>
      <c r="E11" s="1" t="s">
        <v>15</v>
      </c>
      <c r="F11" s="1">
        <v>38</v>
      </c>
      <c r="G11" s="2">
        <v>42149</v>
      </c>
      <c r="H11" s="1">
        <v>12</v>
      </c>
      <c r="I11" s="1">
        <v>85000</v>
      </c>
      <c r="J11" s="1">
        <v>5</v>
      </c>
      <c r="K11" s="1" t="s">
        <v>16</v>
      </c>
      <c r="L11" s="15" t="s">
        <v>182</v>
      </c>
    </row>
    <row r="12" spans="1:12" x14ac:dyDescent="0.3">
      <c r="A12" s="3" t="s">
        <v>38</v>
      </c>
      <c r="B12" s="1" t="s">
        <v>39</v>
      </c>
      <c r="C12" s="1" t="s">
        <v>13</v>
      </c>
      <c r="D12" s="1" t="s">
        <v>40</v>
      </c>
      <c r="E12" s="1" t="s">
        <v>25</v>
      </c>
      <c r="F12" s="1">
        <v>41</v>
      </c>
      <c r="G12" s="2">
        <v>41535</v>
      </c>
      <c r="H12" s="1">
        <v>15</v>
      </c>
      <c r="I12" s="1">
        <v>78000</v>
      </c>
      <c r="J12" s="1">
        <v>4</v>
      </c>
      <c r="K12" s="1" t="s">
        <v>16</v>
      </c>
      <c r="L12" s="15" t="s">
        <v>183</v>
      </c>
    </row>
    <row r="13" spans="1:12" x14ac:dyDescent="0.3">
      <c r="A13" s="3" t="s">
        <v>41</v>
      </c>
      <c r="B13" s="1" t="s">
        <v>42</v>
      </c>
      <c r="C13" s="1" t="s">
        <v>19</v>
      </c>
      <c r="D13" s="1" t="s">
        <v>43</v>
      </c>
      <c r="E13" s="1" t="s">
        <v>15</v>
      </c>
      <c r="F13" s="1">
        <v>36</v>
      </c>
      <c r="G13" s="2">
        <v>42407</v>
      </c>
      <c r="H13" s="1">
        <v>10</v>
      </c>
      <c r="I13" s="1">
        <v>72000</v>
      </c>
      <c r="J13" s="1">
        <v>3</v>
      </c>
      <c r="K13" s="1" t="s">
        <v>16</v>
      </c>
      <c r="L13" s="15" t="s">
        <v>184</v>
      </c>
    </row>
    <row r="14" spans="1:12" x14ac:dyDescent="0.3">
      <c r="A14" s="3" t="s">
        <v>44</v>
      </c>
      <c r="B14" s="1" t="s">
        <v>45</v>
      </c>
      <c r="C14" s="1" t="s">
        <v>28</v>
      </c>
      <c r="D14" s="1" t="s">
        <v>46</v>
      </c>
      <c r="E14" s="1" t="s">
        <v>25</v>
      </c>
      <c r="F14" s="1">
        <v>27</v>
      </c>
      <c r="G14" s="2">
        <v>44665</v>
      </c>
      <c r="H14" s="1">
        <v>2</v>
      </c>
      <c r="I14" s="1">
        <v>50000</v>
      </c>
      <c r="J14" s="1">
        <v>4</v>
      </c>
      <c r="K14" s="1" t="s">
        <v>16</v>
      </c>
      <c r="L14" s="15" t="s">
        <v>185</v>
      </c>
    </row>
    <row r="15" spans="1:12" x14ac:dyDescent="0.3">
      <c r="A15" s="3" t="s">
        <v>47</v>
      </c>
      <c r="B15" s="1" t="s">
        <v>48</v>
      </c>
      <c r="C15" s="1" t="s">
        <v>23</v>
      </c>
      <c r="D15" s="1" t="s">
        <v>49</v>
      </c>
      <c r="E15" s="1" t="s">
        <v>15</v>
      </c>
      <c r="F15" s="1">
        <v>30</v>
      </c>
      <c r="G15" s="2">
        <v>44042</v>
      </c>
      <c r="H15" s="1">
        <v>5</v>
      </c>
      <c r="I15" s="1">
        <v>65000</v>
      </c>
      <c r="J15" s="1">
        <v>5</v>
      </c>
      <c r="K15" s="1" t="s">
        <v>16</v>
      </c>
      <c r="L15" s="15" t="s">
        <v>186</v>
      </c>
    </row>
    <row r="16" spans="1:12" x14ac:dyDescent="0.3">
      <c r="A16" s="3" t="s">
        <v>50</v>
      </c>
      <c r="B16" s="1" t="s">
        <v>51</v>
      </c>
      <c r="C16" s="1" t="s">
        <v>33</v>
      </c>
      <c r="D16" s="1" t="s">
        <v>52</v>
      </c>
      <c r="E16" s="1" t="s">
        <v>25</v>
      </c>
      <c r="F16" s="1">
        <v>25</v>
      </c>
      <c r="G16" s="2">
        <v>44935</v>
      </c>
      <c r="H16" s="1">
        <v>1</v>
      </c>
      <c r="I16" s="1">
        <v>38000</v>
      </c>
      <c r="J16" s="1">
        <v>3</v>
      </c>
      <c r="K16" s="1" t="s">
        <v>16</v>
      </c>
      <c r="L16" s="15" t="s">
        <v>187</v>
      </c>
    </row>
    <row r="17" spans="1:12" x14ac:dyDescent="0.3">
      <c r="A17" s="3" t="s">
        <v>53</v>
      </c>
      <c r="B17" s="1" t="s">
        <v>54</v>
      </c>
      <c r="C17" s="1" t="s">
        <v>55</v>
      </c>
      <c r="D17" s="1" t="s">
        <v>56</v>
      </c>
      <c r="E17" s="1" t="s">
        <v>15</v>
      </c>
      <c r="F17" s="1">
        <v>42</v>
      </c>
      <c r="G17" s="2">
        <v>41183</v>
      </c>
      <c r="H17" s="1">
        <v>16</v>
      </c>
      <c r="I17" s="1">
        <v>90000</v>
      </c>
      <c r="J17" s="1">
        <v>4</v>
      </c>
      <c r="K17" s="1" t="s">
        <v>16</v>
      </c>
      <c r="L17" s="15" t="s">
        <v>188</v>
      </c>
    </row>
    <row r="18" spans="1:12" x14ac:dyDescent="0.3">
      <c r="A18" s="3" t="s">
        <v>57</v>
      </c>
      <c r="B18" s="1" t="s">
        <v>58</v>
      </c>
      <c r="C18" s="1" t="s">
        <v>13</v>
      </c>
      <c r="D18" s="1" t="s">
        <v>59</v>
      </c>
      <c r="E18" s="1" t="s">
        <v>25</v>
      </c>
      <c r="F18" s="1">
        <v>27</v>
      </c>
      <c r="G18" s="2">
        <v>44335</v>
      </c>
      <c r="H18" s="1">
        <v>3</v>
      </c>
      <c r="I18" s="1">
        <v>42000</v>
      </c>
      <c r="J18" s="1">
        <v>4</v>
      </c>
      <c r="K18" s="1" t="s">
        <v>16</v>
      </c>
      <c r="L18" s="15" t="s">
        <v>189</v>
      </c>
    </row>
    <row r="19" spans="1:12" x14ac:dyDescent="0.3">
      <c r="A19" s="3" t="s">
        <v>60</v>
      </c>
      <c r="B19" s="1" t="s">
        <v>61</v>
      </c>
      <c r="C19" s="1" t="s">
        <v>28</v>
      </c>
      <c r="D19" s="1" t="s">
        <v>62</v>
      </c>
      <c r="E19" s="1" t="s">
        <v>15</v>
      </c>
      <c r="F19" s="1">
        <v>39</v>
      </c>
      <c r="G19" s="2">
        <v>41873</v>
      </c>
      <c r="H19" s="1">
        <v>13</v>
      </c>
      <c r="I19" s="1">
        <v>75000</v>
      </c>
      <c r="J19" s="1">
        <v>5</v>
      </c>
      <c r="K19" s="1" t="s">
        <v>16</v>
      </c>
      <c r="L19" s="15" t="s">
        <v>190</v>
      </c>
    </row>
    <row r="20" spans="1:12" x14ac:dyDescent="0.3">
      <c r="A20" s="3" t="s">
        <v>63</v>
      </c>
      <c r="B20" s="1" t="s">
        <v>64</v>
      </c>
      <c r="C20" s="1" t="s">
        <v>23</v>
      </c>
      <c r="D20" s="1" t="s">
        <v>65</v>
      </c>
      <c r="E20" s="1" t="s">
        <v>15</v>
      </c>
      <c r="F20" s="1">
        <v>34</v>
      </c>
      <c r="G20" s="2">
        <v>43437</v>
      </c>
      <c r="H20" s="1">
        <v>6</v>
      </c>
      <c r="I20" s="1">
        <v>62000</v>
      </c>
      <c r="J20" s="1">
        <v>4</v>
      </c>
      <c r="K20" s="1" t="s">
        <v>16</v>
      </c>
      <c r="L20" s="15" t="s">
        <v>180</v>
      </c>
    </row>
    <row r="21" spans="1:12" x14ac:dyDescent="0.3">
      <c r="A21" s="3" t="s">
        <v>66</v>
      </c>
      <c r="B21" s="1" t="s">
        <v>67</v>
      </c>
      <c r="C21" s="1" t="s">
        <v>33</v>
      </c>
      <c r="D21" s="1" t="s">
        <v>68</v>
      </c>
      <c r="E21" s="1" t="s">
        <v>25</v>
      </c>
      <c r="F21" s="1">
        <v>31</v>
      </c>
      <c r="G21" s="2">
        <v>43725</v>
      </c>
      <c r="H21" s="1">
        <v>5</v>
      </c>
      <c r="I21" s="1">
        <v>54000</v>
      </c>
      <c r="J21" s="1">
        <v>4</v>
      </c>
      <c r="K21" s="1" t="s">
        <v>16</v>
      </c>
      <c r="L21" s="15" t="s">
        <v>179</v>
      </c>
    </row>
    <row r="22" spans="1:12" x14ac:dyDescent="0.3">
      <c r="A22" s="3" t="s">
        <v>69</v>
      </c>
      <c r="B22" s="1" t="s">
        <v>70</v>
      </c>
      <c r="C22" s="1" t="s">
        <v>19</v>
      </c>
      <c r="D22" s="1" t="s">
        <v>20</v>
      </c>
      <c r="E22" s="1" t="s">
        <v>15</v>
      </c>
      <c r="F22" s="1">
        <v>29</v>
      </c>
      <c r="G22" s="2">
        <v>43993</v>
      </c>
      <c r="H22" s="1">
        <v>4</v>
      </c>
      <c r="I22" s="1">
        <v>47000</v>
      </c>
      <c r="J22" s="1">
        <v>3</v>
      </c>
      <c r="K22" s="1" t="s">
        <v>16</v>
      </c>
      <c r="L22" s="15" t="s">
        <v>191</v>
      </c>
    </row>
    <row r="23" spans="1:12" x14ac:dyDescent="0.3">
      <c r="A23" s="3" t="s">
        <v>71</v>
      </c>
      <c r="B23" s="1" t="s">
        <v>72</v>
      </c>
      <c r="C23" s="1" t="s">
        <v>13</v>
      </c>
      <c r="D23" s="1" t="s">
        <v>73</v>
      </c>
      <c r="E23" s="1" t="s">
        <v>25</v>
      </c>
      <c r="F23" s="1">
        <v>26</v>
      </c>
      <c r="G23" s="2">
        <v>44593</v>
      </c>
      <c r="H23" s="1">
        <v>2</v>
      </c>
      <c r="I23" s="1">
        <v>39000</v>
      </c>
      <c r="J23" s="1">
        <v>3</v>
      </c>
      <c r="K23" s="1" t="s">
        <v>16</v>
      </c>
      <c r="L23" s="15" t="s">
        <v>192</v>
      </c>
    </row>
    <row r="24" spans="1:12" x14ac:dyDescent="0.3">
      <c r="A24" s="3" t="s">
        <v>74</v>
      </c>
      <c r="B24" s="1" t="s">
        <v>75</v>
      </c>
      <c r="C24" s="1" t="s">
        <v>55</v>
      </c>
      <c r="D24" s="1" t="s">
        <v>76</v>
      </c>
      <c r="E24" s="1" t="s">
        <v>15</v>
      </c>
      <c r="F24" s="1">
        <v>37</v>
      </c>
      <c r="G24" s="2">
        <v>42577</v>
      </c>
      <c r="H24" s="1">
        <v>9</v>
      </c>
      <c r="I24" s="1">
        <v>61000</v>
      </c>
      <c r="J24" s="1">
        <v>4</v>
      </c>
      <c r="K24" s="1" t="s">
        <v>30</v>
      </c>
      <c r="L24" s="15" t="s">
        <v>193</v>
      </c>
    </row>
    <row r="25" spans="1:12" x14ac:dyDescent="0.3">
      <c r="A25" s="3" t="s">
        <v>77</v>
      </c>
      <c r="B25" s="1" t="s">
        <v>78</v>
      </c>
      <c r="C25" s="1" t="s">
        <v>28</v>
      </c>
      <c r="D25" s="1" t="s">
        <v>79</v>
      </c>
      <c r="E25" s="1" t="s">
        <v>25</v>
      </c>
      <c r="F25" s="1">
        <v>44</v>
      </c>
      <c r="G25" s="2">
        <v>40642</v>
      </c>
      <c r="H25" s="1">
        <v>18</v>
      </c>
      <c r="I25" s="1">
        <v>95000</v>
      </c>
      <c r="J25" s="1">
        <v>5</v>
      </c>
      <c r="K25" s="1" t="s">
        <v>16</v>
      </c>
      <c r="L25" s="15" t="s">
        <v>194</v>
      </c>
    </row>
    <row r="26" spans="1:12" x14ac:dyDescent="0.3">
      <c r="A26" s="3" t="s">
        <v>80</v>
      </c>
      <c r="B26" s="1" t="s">
        <v>81</v>
      </c>
      <c r="C26" s="1" t="s">
        <v>23</v>
      </c>
      <c r="D26" s="1" t="s">
        <v>82</v>
      </c>
      <c r="E26" s="1" t="s">
        <v>15</v>
      </c>
      <c r="F26" s="1">
        <v>40</v>
      </c>
      <c r="G26" s="2">
        <v>41958</v>
      </c>
      <c r="H26" s="1">
        <v>12</v>
      </c>
      <c r="I26" s="1">
        <v>88000</v>
      </c>
      <c r="J26" s="1">
        <v>4</v>
      </c>
      <c r="K26" s="1" t="s">
        <v>16</v>
      </c>
      <c r="L26" s="15" t="s">
        <v>195</v>
      </c>
    </row>
    <row r="27" spans="1:12" x14ac:dyDescent="0.3">
      <c r="A27" s="3" t="s">
        <v>83</v>
      </c>
      <c r="B27" s="1" t="s">
        <v>84</v>
      </c>
      <c r="C27" s="1" t="s">
        <v>33</v>
      </c>
      <c r="D27" s="1" t="s">
        <v>85</v>
      </c>
      <c r="E27" s="1" t="s">
        <v>25</v>
      </c>
      <c r="F27" s="1">
        <v>35</v>
      </c>
      <c r="G27" s="2">
        <v>42891</v>
      </c>
      <c r="H27" s="1">
        <v>8</v>
      </c>
      <c r="I27" s="1">
        <v>72000</v>
      </c>
      <c r="J27" s="1">
        <v>5</v>
      </c>
      <c r="K27" s="1" t="s">
        <v>16</v>
      </c>
      <c r="L27" s="15" t="s">
        <v>196</v>
      </c>
    </row>
    <row r="28" spans="1:12" x14ac:dyDescent="0.3">
      <c r="A28" s="3" t="s">
        <v>86</v>
      </c>
      <c r="B28" s="1" t="s">
        <v>87</v>
      </c>
      <c r="C28" s="1" t="s">
        <v>19</v>
      </c>
      <c r="D28" s="1" t="s">
        <v>88</v>
      </c>
      <c r="E28" s="1" t="s">
        <v>15</v>
      </c>
      <c r="F28" s="1">
        <v>43</v>
      </c>
      <c r="G28" s="2">
        <v>40255</v>
      </c>
      <c r="H28" s="1">
        <v>19</v>
      </c>
      <c r="I28" s="1">
        <v>98000</v>
      </c>
      <c r="J28" s="1">
        <v>4</v>
      </c>
      <c r="K28" s="1" t="s">
        <v>16</v>
      </c>
      <c r="L28" s="15" t="s">
        <v>197</v>
      </c>
    </row>
    <row r="29" spans="1:12" x14ac:dyDescent="0.3">
      <c r="A29" s="3" t="s">
        <v>89</v>
      </c>
      <c r="B29" s="1" t="s">
        <v>90</v>
      </c>
      <c r="C29" s="1" t="s">
        <v>13</v>
      </c>
      <c r="D29" s="1" t="s">
        <v>91</v>
      </c>
      <c r="E29" s="1" t="s">
        <v>25</v>
      </c>
      <c r="F29" s="1">
        <v>38</v>
      </c>
      <c r="G29" s="2">
        <v>42275</v>
      </c>
      <c r="H29" s="1">
        <v>10</v>
      </c>
      <c r="I29" s="1">
        <v>68000</v>
      </c>
      <c r="J29" s="1">
        <v>4</v>
      </c>
      <c r="K29" s="1" t="s">
        <v>16</v>
      </c>
      <c r="L29" s="15" t="s">
        <v>198</v>
      </c>
    </row>
    <row r="30" spans="1:12" x14ac:dyDescent="0.3">
      <c r="A30" s="3" t="s">
        <v>92</v>
      </c>
      <c r="B30" s="1" t="s">
        <v>93</v>
      </c>
      <c r="C30" s="1" t="s">
        <v>23</v>
      </c>
      <c r="D30" s="1" t="s">
        <v>94</v>
      </c>
      <c r="E30" s="1" t="s">
        <v>15</v>
      </c>
      <c r="F30" s="1">
        <v>27</v>
      </c>
      <c r="G30" s="2">
        <v>44844</v>
      </c>
      <c r="H30" s="1">
        <v>2</v>
      </c>
      <c r="I30" s="1">
        <v>48000</v>
      </c>
      <c r="J30" s="1">
        <v>3</v>
      </c>
      <c r="K30" s="1" t="s">
        <v>16</v>
      </c>
      <c r="L30" s="15" t="s">
        <v>199</v>
      </c>
    </row>
    <row r="31" spans="1:12" x14ac:dyDescent="0.3">
      <c r="A31" s="3" t="s">
        <v>95</v>
      </c>
      <c r="B31" s="1" t="s">
        <v>96</v>
      </c>
      <c r="C31" s="1" t="s">
        <v>28</v>
      </c>
      <c r="D31" s="1" t="s">
        <v>97</v>
      </c>
      <c r="E31" s="1" t="s">
        <v>15</v>
      </c>
      <c r="F31" s="1">
        <v>33</v>
      </c>
      <c r="G31" s="2">
        <v>43479</v>
      </c>
      <c r="H31" s="1">
        <v>6</v>
      </c>
      <c r="I31" s="1">
        <v>56000</v>
      </c>
      <c r="J31" s="1">
        <v>4</v>
      </c>
      <c r="K31" s="1" t="s">
        <v>16</v>
      </c>
      <c r="L31" s="15" t="s">
        <v>200</v>
      </c>
    </row>
    <row r="32" spans="1:12" x14ac:dyDescent="0.3">
      <c r="A32" s="3" t="s">
        <v>98</v>
      </c>
      <c r="B32" s="1" t="s">
        <v>99</v>
      </c>
      <c r="C32" s="1" t="s">
        <v>33</v>
      </c>
      <c r="D32" s="1" t="s">
        <v>100</v>
      </c>
      <c r="E32" s="1" t="s">
        <v>25</v>
      </c>
      <c r="F32" s="1">
        <v>28</v>
      </c>
      <c r="G32" s="2">
        <v>44066</v>
      </c>
      <c r="H32" s="1">
        <v>4</v>
      </c>
      <c r="I32" s="1">
        <v>52000</v>
      </c>
      <c r="J32" s="1">
        <v>5</v>
      </c>
      <c r="K32" s="1" t="s">
        <v>16</v>
      </c>
      <c r="L32" s="15" t="s">
        <v>178</v>
      </c>
    </row>
    <row r="33" spans="1:12" x14ac:dyDescent="0.3">
      <c r="A33" s="3" t="s">
        <v>101</v>
      </c>
      <c r="B33" s="1" t="s">
        <v>102</v>
      </c>
      <c r="C33" s="1" t="s">
        <v>55</v>
      </c>
      <c r="D33" s="1" t="s">
        <v>103</v>
      </c>
      <c r="E33" s="1" t="s">
        <v>15</v>
      </c>
      <c r="F33" s="1">
        <v>36</v>
      </c>
      <c r="G33" s="2">
        <v>42492</v>
      </c>
      <c r="H33" s="1">
        <v>9</v>
      </c>
      <c r="I33" s="1">
        <v>67000</v>
      </c>
      <c r="J33" s="1">
        <v>4</v>
      </c>
      <c r="K33" s="1" t="s">
        <v>16</v>
      </c>
      <c r="L33" s="15" t="s">
        <v>201</v>
      </c>
    </row>
    <row r="34" spans="1:12" x14ac:dyDescent="0.3">
      <c r="A34" s="3" t="s">
        <v>104</v>
      </c>
      <c r="B34" s="1" t="s">
        <v>105</v>
      </c>
      <c r="C34" s="1" t="s">
        <v>13</v>
      </c>
      <c r="D34" s="1" t="s">
        <v>106</v>
      </c>
      <c r="E34" s="1" t="s">
        <v>25</v>
      </c>
      <c r="F34" s="1">
        <v>34</v>
      </c>
      <c r="G34" s="2">
        <v>43300</v>
      </c>
      <c r="H34" s="1">
        <v>7</v>
      </c>
      <c r="I34" s="1">
        <v>71000</v>
      </c>
      <c r="J34" s="1">
        <v>5</v>
      </c>
      <c r="K34" s="1" t="s">
        <v>16</v>
      </c>
      <c r="L34" s="15" t="s">
        <v>202</v>
      </c>
    </row>
    <row r="35" spans="1:12" x14ac:dyDescent="0.3">
      <c r="A35" s="3" t="s">
        <v>107</v>
      </c>
      <c r="B35" s="1" t="s">
        <v>108</v>
      </c>
      <c r="C35" s="1" t="s">
        <v>23</v>
      </c>
      <c r="D35" s="1" t="s">
        <v>109</v>
      </c>
      <c r="E35" s="1" t="s">
        <v>15</v>
      </c>
      <c r="F35" s="1">
        <v>31</v>
      </c>
      <c r="G35" s="2">
        <v>43746</v>
      </c>
      <c r="H35" s="1">
        <v>5</v>
      </c>
      <c r="I35" s="1">
        <v>82000</v>
      </c>
      <c r="J35" s="1">
        <v>5</v>
      </c>
      <c r="K35" s="1" t="s">
        <v>16</v>
      </c>
      <c r="L35" s="15" t="s">
        <v>182</v>
      </c>
    </row>
    <row r="36" spans="1:12" x14ac:dyDescent="0.3">
      <c r="A36" s="3" t="s">
        <v>110</v>
      </c>
      <c r="B36" s="1" t="s">
        <v>111</v>
      </c>
      <c r="C36" s="1" t="s">
        <v>19</v>
      </c>
      <c r="D36" s="1" t="s">
        <v>112</v>
      </c>
      <c r="E36" s="1" t="s">
        <v>15</v>
      </c>
      <c r="F36" s="1">
        <v>24</v>
      </c>
      <c r="G36" s="2">
        <v>44986</v>
      </c>
      <c r="H36" s="1">
        <v>1</v>
      </c>
      <c r="I36" s="1">
        <v>32000</v>
      </c>
      <c r="J36" s="1">
        <v>3</v>
      </c>
      <c r="K36" s="1" t="s">
        <v>16</v>
      </c>
      <c r="L36" s="15" t="s">
        <v>203</v>
      </c>
    </row>
    <row r="37" spans="1:12" x14ac:dyDescent="0.3">
      <c r="A37" s="3" t="s">
        <v>113</v>
      </c>
      <c r="B37" s="1" t="s">
        <v>114</v>
      </c>
      <c r="C37" s="1" t="s">
        <v>28</v>
      </c>
      <c r="D37" s="1" t="s">
        <v>115</v>
      </c>
      <c r="E37" s="1" t="s">
        <v>25</v>
      </c>
      <c r="F37" s="1">
        <v>29</v>
      </c>
      <c r="G37" s="2">
        <v>43873</v>
      </c>
      <c r="H37" s="1">
        <v>4</v>
      </c>
      <c r="I37" s="1">
        <v>51000</v>
      </c>
      <c r="J37" s="1">
        <v>4</v>
      </c>
      <c r="K37" s="1" t="s">
        <v>16</v>
      </c>
      <c r="L37" s="15" t="s">
        <v>204</v>
      </c>
    </row>
    <row r="38" spans="1:12" x14ac:dyDescent="0.3">
      <c r="A38" s="3" t="s">
        <v>116</v>
      </c>
      <c r="B38" s="1" t="s">
        <v>117</v>
      </c>
      <c r="C38" s="1" t="s">
        <v>55</v>
      </c>
      <c r="D38" s="1" t="s">
        <v>118</v>
      </c>
      <c r="E38" s="1" t="s">
        <v>15</v>
      </c>
      <c r="F38" s="1">
        <v>41</v>
      </c>
      <c r="G38" s="2">
        <v>41081</v>
      </c>
      <c r="H38" s="1">
        <v>15</v>
      </c>
      <c r="I38" s="1">
        <v>76000</v>
      </c>
      <c r="J38" s="1">
        <v>4</v>
      </c>
      <c r="K38" s="1" t="s">
        <v>16</v>
      </c>
      <c r="L38" s="15" t="s">
        <v>205</v>
      </c>
    </row>
    <row r="39" spans="1:12" x14ac:dyDescent="0.3">
      <c r="A39" s="3" t="s">
        <v>119</v>
      </c>
      <c r="B39" s="1" t="s">
        <v>120</v>
      </c>
      <c r="C39" s="1" t="s">
        <v>33</v>
      </c>
      <c r="D39" s="1" t="s">
        <v>121</v>
      </c>
      <c r="E39" s="1" t="s">
        <v>25</v>
      </c>
      <c r="F39" s="1">
        <v>33</v>
      </c>
      <c r="G39" s="2">
        <v>43207</v>
      </c>
      <c r="H39" s="1">
        <v>6</v>
      </c>
      <c r="I39" s="1">
        <v>59000</v>
      </c>
      <c r="J39" s="1">
        <v>4</v>
      </c>
      <c r="K39" s="1" t="s">
        <v>16</v>
      </c>
      <c r="L39" s="15" t="s">
        <v>177</v>
      </c>
    </row>
    <row r="40" spans="1:12" x14ac:dyDescent="0.3">
      <c r="A40" s="3" t="s">
        <v>122</v>
      </c>
      <c r="B40" s="1" t="s">
        <v>123</v>
      </c>
      <c r="C40" s="1" t="s">
        <v>23</v>
      </c>
      <c r="D40" s="1" t="s">
        <v>124</v>
      </c>
      <c r="E40" s="1" t="s">
        <v>15</v>
      </c>
      <c r="F40" s="1">
        <v>37</v>
      </c>
      <c r="G40" s="2">
        <v>42622</v>
      </c>
      <c r="H40" s="1">
        <v>9</v>
      </c>
      <c r="I40" s="1">
        <v>69000</v>
      </c>
      <c r="J40" s="1">
        <v>3</v>
      </c>
      <c r="K40" s="1" t="s">
        <v>30</v>
      </c>
      <c r="L40" s="15" t="s">
        <v>189</v>
      </c>
    </row>
    <row r="41" spans="1:12" x14ac:dyDescent="0.3">
      <c r="A41" s="3" t="s">
        <v>125</v>
      </c>
      <c r="B41" s="1" t="s">
        <v>126</v>
      </c>
      <c r="C41" s="1" t="s">
        <v>28</v>
      </c>
      <c r="D41" s="1" t="s">
        <v>127</v>
      </c>
      <c r="E41" s="1" t="s">
        <v>25</v>
      </c>
      <c r="F41" s="1">
        <v>45</v>
      </c>
      <c r="G41" s="2">
        <v>40158</v>
      </c>
      <c r="H41" s="1">
        <v>20</v>
      </c>
      <c r="I41" s="1">
        <v>105000</v>
      </c>
      <c r="J41" s="1">
        <v>5</v>
      </c>
      <c r="K41" s="1" t="s">
        <v>16</v>
      </c>
      <c r="L41" s="15" t="s">
        <v>206</v>
      </c>
    </row>
    <row r="42" spans="1:12" x14ac:dyDescent="0.3">
      <c r="A42" s="3" t="s">
        <v>128</v>
      </c>
      <c r="B42" s="1" t="s">
        <v>129</v>
      </c>
      <c r="C42" s="1" t="s">
        <v>19</v>
      </c>
      <c r="D42" s="1" t="s">
        <v>130</v>
      </c>
      <c r="E42" s="1" t="s">
        <v>15</v>
      </c>
      <c r="F42" s="1">
        <v>39</v>
      </c>
      <c r="G42" s="2">
        <v>41675</v>
      </c>
      <c r="H42" s="1">
        <v>11</v>
      </c>
      <c r="I42" s="1">
        <v>83000</v>
      </c>
      <c r="J42" s="1">
        <v>4</v>
      </c>
      <c r="K42" s="1" t="s">
        <v>16</v>
      </c>
      <c r="L42" s="15" t="s">
        <v>191</v>
      </c>
    </row>
    <row r="43" spans="1:12" x14ac:dyDescent="0.3">
      <c r="A43" s="3" t="s">
        <v>131</v>
      </c>
      <c r="B43" s="1" t="s">
        <v>132</v>
      </c>
      <c r="C43" s="1" t="s">
        <v>13</v>
      </c>
      <c r="D43" s="1" t="s">
        <v>133</v>
      </c>
      <c r="E43" s="1" t="s">
        <v>25</v>
      </c>
      <c r="F43" s="1">
        <v>32</v>
      </c>
      <c r="G43" s="2">
        <v>43647</v>
      </c>
      <c r="H43" s="1">
        <v>5</v>
      </c>
      <c r="I43" s="1">
        <v>58000</v>
      </c>
      <c r="J43" s="1">
        <v>4</v>
      </c>
      <c r="K43" s="1" t="s">
        <v>16</v>
      </c>
      <c r="L43" s="15" t="s">
        <v>180</v>
      </c>
    </row>
    <row r="44" spans="1:12" x14ac:dyDescent="0.3">
      <c r="A44" s="3" t="s">
        <v>134</v>
      </c>
      <c r="B44" s="1" t="s">
        <v>135</v>
      </c>
      <c r="C44" s="1" t="s">
        <v>23</v>
      </c>
      <c r="D44" s="1" t="s">
        <v>136</v>
      </c>
      <c r="E44" s="1" t="s">
        <v>15</v>
      </c>
      <c r="F44" s="1">
        <v>34</v>
      </c>
      <c r="G44" s="2">
        <v>43035</v>
      </c>
      <c r="H44" s="1">
        <v>8</v>
      </c>
      <c r="I44" s="1">
        <v>77000</v>
      </c>
      <c r="J44" s="1">
        <v>5</v>
      </c>
      <c r="K44" s="1" t="s">
        <v>16</v>
      </c>
      <c r="L44" s="15" t="s">
        <v>183</v>
      </c>
    </row>
    <row r="45" spans="1:12" x14ac:dyDescent="0.3">
      <c r="A45" s="3" t="s">
        <v>137</v>
      </c>
      <c r="B45" s="1" t="s">
        <v>138</v>
      </c>
      <c r="C45" s="1" t="s">
        <v>33</v>
      </c>
      <c r="D45" s="1" t="s">
        <v>139</v>
      </c>
      <c r="E45" s="1" t="s">
        <v>25</v>
      </c>
      <c r="F45" s="1">
        <v>36</v>
      </c>
      <c r="G45" s="2">
        <v>42443</v>
      </c>
      <c r="H45" s="1">
        <v>10</v>
      </c>
      <c r="I45" s="1">
        <v>74000</v>
      </c>
      <c r="J45" s="1">
        <v>4</v>
      </c>
      <c r="K45" s="1" t="s">
        <v>16</v>
      </c>
      <c r="L45" s="15" t="s">
        <v>181</v>
      </c>
    </row>
    <row r="46" spans="1:12" x14ac:dyDescent="0.3">
      <c r="A46" s="3" t="s">
        <v>140</v>
      </c>
      <c r="B46" s="1" t="s">
        <v>141</v>
      </c>
      <c r="C46" s="1" t="s">
        <v>55</v>
      </c>
      <c r="D46" s="1" t="s">
        <v>142</v>
      </c>
      <c r="E46" s="1" t="s">
        <v>15</v>
      </c>
      <c r="F46" s="1">
        <v>44</v>
      </c>
      <c r="G46" s="2">
        <v>40774</v>
      </c>
      <c r="H46" s="1">
        <v>18</v>
      </c>
      <c r="I46" s="1">
        <v>92000</v>
      </c>
      <c r="J46" s="1">
        <v>4</v>
      </c>
      <c r="K46" s="1" t="s">
        <v>16</v>
      </c>
      <c r="L46" s="15" t="s">
        <v>207</v>
      </c>
    </row>
    <row r="47" spans="1:12" x14ac:dyDescent="0.3">
      <c r="A47" s="3" t="s">
        <v>143</v>
      </c>
      <c r="B47" s="1" t="s">
        <v>144</v>
      </c>
      <c r="C47" s="1" t="s">
        <v>28</v>
      </c>
      <c r="D47" s="1" t="s">
        <v>145</v>
      </c>
      <c r="E47" s="1" t="s">
        <v>25</v>
      </c>
      <c r="F47" s="1">
        <v>35</v>
      </c>
      <c r="G47" s="2">
        <v>43073</v>
      </c>
      <c r="H47" s="1">
        <v>8</v>
      </c>
      <c r="I47" s="1">
        <v>69000</v>
      </c>
      <c r="J47" s="1">
        <v>5</v>
      </c>
      <c r="K47" s="1" t="s">
        <v>16</v>
      </c>
      <c r="L47" s="15" t="s">
        <v>208</v>
      </c>
    </row>
    <row r="48" spans="1:12" x14ac:dyDescent="0.3">
      <c r="A48" s="3" t="s">
        <v>146</v>
      </c>
      <c r="B48" s="1" t="s">
        <v>147</v>
      </c>
      <c r="C48" s="1" t="s">
        <v>19</v>
      </c>
      <c r="D48" s="1" t="s">
        <v>148</v>
      </c>
      <c r="E48" s="1" t="s">
        <v>15</v>
      </c>
      <c r="F48" s="1">
        <v>31</v>
      </c>
      <c r="G48" s="2">
        <v>43591</v>
      </c>
      <c r="H48" s="1">
        <v>5</v>
      </c>
      <c r="I48" s="1">
        <v>63000</v>
      </c>
      <c r="J48" s="1">
        <v>4</v>
      </c>
      <c r="K48" s="1" t="s">
        <v>16</v>
      </c>
      <c r="L48" s="15" t="s">
        <v>209</v>
      </c>
    </row>
    <row r="49" spans="1:12" x14ac:dyDescent="0.3">
      <c r="A49" s="3" t="s">
        <v>149</v>
      </c>
      <c r="B49" s="1" t="s">
        <v>150</v>
      </c>
      <c r="C49" s="1" t="s">
        <v>13</v>
      </c>
      <c r="D49" s="1" t="s">
        <v>151</v>
      </c>
      <c r="E49" s="1" t="s">
        <v>25</v>
      </c>
      <c r="F49" s="1">
        <v>29</v>
      </c>
      <c r="G49" s="2">
        <v>44452</v>
      </c>
      <c r="H49" s="1">
        <v>3</v>
      </c>
      <c r="I49" s="1">
        <v>52000</v>
      </c>
      <c r="J49" s="1">
        <v>4</v>
      </c>
      <c r="K49" s="1" t="s">
        <v>16</v>
      </c>
      <c r="L49" s="15" t="s">
        <v>210</v>
      </c>
    </row>
    <row r="50" spans="1:12" x14ac:dyDescent="0.3">
      <c r="A50" s="3" t="s">
        <v>152</v>
      </c>
      <c r="B50" s="1" t="s">
        <v>153</v>
      </c>
      <c r="C50" s="1" t="s">
        <v>23</v>
      </c>
      <c r="D50" s="1" t="s">
        <v>154</v>
      </c>
      <c r="E50" s="1" t="s">
        <v>15</v>
      </c>
      <c r="F50" s="1">
        <v>38</v>
      </c>
      <c r="G50" s="2">
        <v>42333</v>
      </c>
      <c r="H50" s="1">
        <v>11</v>
      </c>
      <c r="I50" s="1">
        <v>88000</v>
      </c>
      <c r="J50" s="1">
        <v>5</v>
      </c>
      <c r="K50" s="1" t="s">
        <v>16</v>
      </c>
      <c r="L50" s="15" t="s">
        <v>195</v>
      </c>
    </row>
    <row r="51" spans="1:12" x14ac:dyDescent="0.3">
      <c r="A51" s="3" t="s">
        <v>155</v>
      </c>
      <c r="B51" s="1" t="s">
        <v>156</v>
      </c>
      <c r="C51" s="1" t="s">
        <v>33</v>
      </c>
      <c r="D51" s="1" t="s">
        <v>157</v>
      </c>
      <c r="E51" s="1" t="s">
        <v>25</v>
      </c>
      <c r="F51" s="1">
        <v>27</v>
      </c>
      <c r="G51" s="2">
        <v>44730</v>
      </c>
      <c r="H51" s="1">
        <v>2</v>
      </c>
      <c r="I51" s="1">
        <v>46000</v>
      </c>
      <c r="J51" s="1">
        <v>3</v>
      </c>
      <c r="K51" s="1" t="s">
        <v>16</v>
      </c>
      <c r="L51" s="15" t="s">
        <v>211</v>
      </c>
    </row>
    <row r="52" spans="1:12" x14ac:dyDescent="0.3">
      <c r="A52" s="3" t="s">
        <v>158</v>
      </c>
      <c r="B52" s="1" t="s">
        <v>159</v>
      </c>
      <c r="C52" s="1" t="s">
        <v>55</v>
      </c>
      <c r="D52" s="1" t="s">
        <v>160</v>
      </c>
      <c r="E52" s="1" t="s">
        <v>15</v>
      </c>
      <c r="F52" s="1">
        <v>40</v>
      </c>
      <c r="G52" s="2">
        <v>41367</v>
      </c>
      <c r="H52" s="1">
        <v>14</v>
      </c>
      <c r="I52" s="1">
        <v>72000</v>
      </c>
      <c r="J52" s="1">
        <v>4</v>
      </c>
      <c r="K52" s="1" t="s">
        <v>30</v>
      </c>
      <c r="L52" s="15" t="s">
        <v>212</v>
      </c>
    </row>
    <row r="53" spans="1:12" x14ac:dyDescent="0.3">
      <c r="A53" s="3" t="s">
        <v>161</v>
      </c>
      <c r="B53" s="1" t="s">
        <v>162</v>
      </c>
      <c r="C53" s="1" t="s">
        <v>28</v>
      </c>
      <c r="D53" s="1" t="s">
        <v>163</v>
      </c>
      <c r="E53" s="1" t="s">
        <v>25</v>
      </c>
      <c r="F53" s="1">
        <v>34</v>
      </c>
      <c r="G53" s="2">
        <v>43328</v>
      </c>
      <c r="H53" s="1">
        <v>7</v>
      </c>
      <c r="I53" s="1">
        <v>65000</v>
      </c>
      <c r="J53" s="1">
        <v>4</v>
      </c>
      <c r="K53" s="1" t="s">
        <v>16</v>
      </c>
      <c r="L53" s="15" t="s">
        <v>213</v>
      </c>
    </row>
    <row r="54" spans="1:12" x14ac:dyDescent="0.3">
      <c r="A54" s="3" t="s">
        <v>164</v>
      </c>
      <c r="B54" s="1" t="s">
        <v>165</v>
      </c>
      <c r="C54" s="1" t="s">
        <v>19</v>
      </c>
      <c r="D54" s="1" t="s">
        <v>166</v>
      </c>
      <c r="E54" s="1" t="s">
        <v>15</v>
      </c>
      <c r="F54" s="1">
        <v>42</v>
      </c>
      <c r="G54" s="2">
        <v>40917</v>
      </c>
      <c r="H54" s="1">
        <v>16</v>
      </c>
      <c r="I54" s="1">
        <v>91000</v>
      </c>
      <c r="J54" s="1">
        <v>5</v>
      </c>
      <c r="K54" s="1" t="s">
        <v>16</v>
      </c>
      <c r="L54" s="15" t="s">
        <v>214</v>
      </c>
    </row>
    <row r="55" spans="1:12" x14ac:dyDescent="0.3">
      <c r="A55" s="6" t="s">
        <v>167</v>
      </c>
      <c r="B55" s="7" t="s">
        <v>168</v>
      </c>
      <c r="C55" s="7" t="s">
        <v>23</v>
      </c>
      <c r="D55" s="7" t="s">
        <v>169</v>
      </c>
      <c r="E55" s="7" t="s">
        <v>25</v>
      </c>
      <c r="F55" s="7">
        <v>28</v>
      </c>
      <c r="G55" s="8">
        <v>44522</v>
      </c>
      <c r="H55" s="7">
        <v>3</v>
      </c>
      <c r="I55" s="7">
        <v>75000</v>
      </c>
      <c r="J55" s="7">
        <v>5</v>
      </c>
      <c r="K55" s="7" t="s">
        <v>16</v>
      </c>
      <c r="L55" s="15" t="s">
        <v>211</v>
      </c>
    </row>
    <row r="57" spans="1:12" x14ac:dyDescent="0.3">
      <c r="E57" s="16"/>
    </row>
  </sheetData>
  <dataConsolidate/>
  <pageMargins left="0.25" right="0.25" top="0.75" bottom="0.75" header="0.3" footer="0.3"/>
  <pageSetup scale="52"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60751D-0E01-4FE7-894D-6A30D3DAA8E5}">
  <dimension ref="A1:C22"/>
  <sheetViews>
    <sheetView topLeftCell="A13" workbookViewId="0">
      <selection activeCell="A17" sqref="A17:B22"/>
    </sheetView>
  </sheetViews>
  <sheetFormatPr defaultRowHeight="14.4" x14ac:dyDescent="0.3"/>
  <cols>
    <col min="1" max="1" width="12.109375" bestFit="1" customWidth="1"/>
  </cols>
  <sheetData>
    <row r="1" spans="1:3" x14ac:dyDescent="0.3">
      <c r="A1" s="10"/>
      <c r="B1" s="11" t="s">
        <v>173</v>
      </c>
      <c r="C1" s="1" t="s">
        <v>172</v>
      </c>
    </row>
    <row r="2" spans="1:3" x14ac:dyDescent="0.3">
      <c r="A2" s="10" t="s">
        <v>170</v>
      </c>
      <c r="B2" s="11">
        <f>COUNTIF('Raw Data'!K6:K55,"Active")</f>
        <v>46</v>
      </c>
      <c r="C2" s="11">
        <f>B2/50*100</f>
        <v>92</v>
      </c>
    </row>
    <row r="3" spans="1:3" x14ac:dyDescent="0.3">
      <c r="A3" s="10" t="s">
        <v>171</v>
      </c>
      <c r="B3" s="11">
        <f>COUNTIF('Raw Data'!K7:K58,"Inactive")</f>
        <v>4</v>
      </c>
      <c r="C3" s="11">
        <f>B3/50*100</f>
        <v>8</v>
      </c>
    </row>
    <row r="5" spans="1:3" x14ac:dyDescent="0.3">
      <c r="A5" s="13"/>
      <c r="B5" s="11" t="s">
        <v>216</v>
      </c>
      <c r="C5" s="11" t="s">
        <v>215</v>
      </c>
    </row>
    <row r="6" spans="1:3" x14ac:dyDescent="0.3">
      <c r="A6" s="1" t="s">
        <v>15</v>
      </c>
      <c r="B6" s="11">
        <f>COUNTIF(Table1[Gender],A6)</f>
        <v>27</v>
      </c>
      <c r="C6" s="11">
        <f>B6/50*100</f>
        <v>54</v>
      </c>
    </row>
    <row r="7" spans="1:3" x14ac:dyDescent="0.3">
      <c r="A7" s="13" t="s">
        <v>25</v>
      </c>
      <c r="B7" s="11">
        <f>COUNTIF(Table1[Gender],A7)</f>
        <v>23</v>
      </c>
      <c r="C7" s="11">
        <f>B7/50*100</f>
        <v>46</v>
      </c>
    </row>
    <row r="9" spans="1:3" x14ac:dyDescent="0.3">
      <c r="A9" s="10" t="s">
        <v>2</v>
      </c>
      <c r="B9" s="10" t="s">
        <v>174</v>
      </c>
    </row>
    <row r="10" spans="1:3" x14ac:dyDescent="0.3">
      <c r="A10" s="12" t="s">
        <v>28</v>
      </c>
      <c r="B10" s="10">
        <f>COUNTIF(Table1[Department],A10)</f>
        <v>9</v>
      </c>
    </row>
    <row r="11" spans="1:3" x14ac:dyDescent="0.3">
      <c r="A11" s="12" t="s">
        <v>13</v>
      </c>
      <c r="B11" s="10">
        <f>COUNTIF(Table1[Department],A11)</f>
        <v>8</v>
      </c>
    </row>
    <row r="12" spans="1:3" x14ac:dyDescent="0.3">
      <c r="A12" s="12" t="s">
        <v>23</v>
      </c>
      <c r="B12" s="10">
        <f>COUNTIF(Table1[Department],A12)</f>
        <v>11</v>
      </c>
    </row>
    <row r="13" spans="1:3" x14ac:dyDescent="0.3">
      <c r="A13" s="12" t="s">
        <v>33</v>
      </c>
      <c r="B13" s="10">
        <f>COUNTIF(Table1[Department],A13)</f>
        <v>8</v>
      </c>
    </row>
    <row r="14" spans="1:3" x14ac:dyDescent="0.3">
      <c r="A14" s="12" t="s">
        <v>55</v>
      </c>
      <c r="B14" s="10">
        <f>COUNTIF(Table1[Department],A14)</f>
        <v>6</v>
      </c>
    </row>
    <row r="15" spans="1:3" x14ac:dyDescent="0.3">
      <c r="A15" s="12" t="s">
        <v>19</v>
      </c>
      <c r="B15" s="10">
        <f>COUNTIF(Table1[Department],A15)</f>
        <v>8</v>
      </c>
    </row>
    <row r="17" spans="1:2" x14ac:dyDescent="0.3">
      <c r="A17" s="11" t="s">
        <v>175</v>
      </c>
      <c r="B17" s="10" t="s">
        <v>174</v>
      </c>
    </row>
    <row r="18" spans="1:2" x14ac:dyDescent="0.3">
      <c r="A18" s="11">
        <v>5</v>
      </c>
      <c r="B18" s="11">
        <f>COUNTIF(Table1[Performance Rating],A18)</f>
        <v>15</v>
      </c>
    </row>
    <row r="19" spans="1:2" x14ac:dyDescent="0.3">
      <c r="A19" s="11">
        <v>4</v>
      </c>
      <c r="B19" s="11">
        <f>COUNTIF(Table1[Performance Rating],A19)</f>
        <v>26</v>
      </c>
    </row>
    <row r="20" spans="1:2" x14ac:dyDescent="0.3">
      <c r="A20" s="11">
        <v>3</v>
      </c>
      <c r="B20" s="11">
        <f>COUNTIF(Table1[Performance Rating],A20)</f>
        <v>9</v>
      </c>
    </row>
    <row r="21" spans="1:2" x14ac:dyDescent="0.3">
      <c r="A21" s="11">
        <v>2</v>
      </c>
      <c r="B21" s="11">
        <f>COUNTIF(Table1[Performance Rating],A21)</f>
        <v>0</v>
      </c>
    </row>
    <row r="22" spans="1:2" x14ac:dyDescent="0.3">
      <c r="A22" s="11">
        <v>1</v>
      </c>
      <c r="B22" s="11">
        <f>COUNTIF(Table1[Performance Rating],A22)</f>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BBC814-E84C-4798-9B7D-4B0922FC8D04}">
  <sheetPr>
    <pageSetUpPr fitToPage="1"/>
  </sheetPr>
  <dimension ref="A1"/>
  <sheetViews>
    <sheetView showGridLines="0" zoomScaleNormal="100" workbookViewId="0">
      <selection activeCell="S15" sqref="S15"/>
    </sheetView>
  </sheetViews>
  <sheetFormatPr defaultRowHeight="14.4" x14ac:dyDescent="0.3"/>
  <cols>
    <col min="1" max="6" width="8.88671875" style="9"/>
    <col min="7" max="7" width="14.33203125" style="9" bestFit="1" customWidth="1"/>
    <col min="8" max="8" width="13.21875" style="9" bestFit="1" customWidth="1"/>
    <col min="9" max="16384" width="8.88671875" style="9"/>
  </cols>
  <sheetData/>
  <pageMargins left="0.25" right="0.25" top="0.75" bottom="0.75" header="0.3" footer="0.3"/>
  <pageSetup paperSize="9" scale="90" fitToWidth="0" orientation="landscape"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Raw Data</vt:lpstr>
      <vt:lpstr>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Rathod Prashantkumar P</dc:creator>
  <cp:lastModifiedBy>Rathod Prashantkumar P</cp:lastModifiedBy>
  <cp:lastPrinted>2026-01-10T18:32:23Z</cp:lastPrinted>
  <dcterms:created xsi:type="dcterms:W3CDTF">2026-01-09T17:21:55Z</dcterms:created>
  <dcterms:modified xsi:type="dcterms:W3CDTF">2026-01-10T18:35:47Z</dcterms:modified>
</cp:coreProperties>
</file>